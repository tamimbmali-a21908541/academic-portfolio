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628" codeName="{60716B99-48EF-4627-542C-1B4CF24DBC83}"/>
  <workbookPr codeName="ThisWorkbook" defaultThemeVersion="123820"/>
  <mc:AlternateContent xmlns:mc="http://schemas.openxmlformats.org/markup-compatibility/2006">
    <mc:Choice Requires="x15">
      <x15ac:absPath xmlns:x15ac="http://schemas.microsoft.com/office/spreadsheetml/2010/11/ac" url="C:\Users\Asus\Desktop\333333333333\ERT_Grupo_17_Entrega3\4\"/>
    </mc:Choice>
  </mc:AlternateContent>
  <xr:revisionPtr revIDLastSave="0" documentId="13_ncr:1_{0D3331DB-30EC-4183-BD5C-C62F454A42FE}" xr6:coauthVersionLast="47" xr6:coauthVersionMax="47" xr10:uidLastSave="{00000000-0000-0000-0000-000000000000}"/>
  <bookViews>
    <workbookView xWindow="-108" yWindow="-108" windowWidth="23256" windowHeight="13176" tabRatio="620" xr2:uid="{00000000-000D-0000-FFFF-FFFF00000000}"/>
  </bookViews>
  <sheets>
    <sheet name="Sprint" sheetId="7" r:id="rId1"/>
    <sheet name="Analysis" sheetId="8" r:id="rId2"/>
    <sheet name="Capacity" sheetId="6" r:id="rId3"/>
    <sheet name="Team Roster" sheetId="5" r:id="rId4"/>
    <sheet name="Project Specific Reports" sheetId="9" r:id="rId5"/>
  </sheets>
  <definedNames>
    <definedName name="_xlnm._FilterDatabase" localSheetId="0" hidden="1">Sprint!$C$3:$CE$198</definedName>
    <definedName name="Burndown" localSheetId="1">Sprint!$J$4:$CD$198</definedName>
    <definedName name="Burndown">Sprint!$J$4:$CD$198</definedName>
    <definedName name="BurndownColumns" localSheetId="1">Analysis!$E$44</definedName>
    <definedName name="BurndownColumns">Analysis!$E$44</definedName>
    <definedName name="DailyScrumDateModifier" localSheetId="1">Analysis!$E$41</definedName>
    <definedName name="DailyScrumDateModifier">Analysis!$E$41</definedName>
    <definedName name="Deliverable">'Project Specific Reports'!$A$9:$A$24</definedName>
    <definedName name="HoursLeftColumn" localSheetId="1">Analysis!$E$46</definedName>
    <definedName name="HoursLeftColumn">Analysis!$E$46</definedName>
    <definedName name="HoursSpentColumn" localSheetId="1">Analysis!$E$45</definedName>
    <definedName name="HoursSpentColumn">Analysis!$E$45</definedName>
    <definedName name="LastRow">Sprint!#REF!</definedName>
    <definedName name="LeftColumn" localSheetId="1">Analysis!$E$46</definedName>
    <definedName name="LeftColumn">Analysis!$E$46</definedName>
    <definedName name="Members" localSheetId="1">OFFSET('Team Roster'!$D$8,0,0,COUNTA('Team Roster'!$D:$D)-1,1)</definedName>
    <definedName name="Members" localSheetId="0">OFFSET('Team Roster'!$D$8,0,0,COUNTA('Team Roster'!$D:$D)-1,1)</definedName>
    <definedName name="Members">OFFSET('Team Roster'!$D$8,0,0,COUNTA('Team Roster'!$D:$D)-1,1)</definedName>
    <definedName name="_xlnm.Print_Area" localSheetId="2">Capacity!$A$4:$AB$33</definedName>
    <definedName name="SkipWeekends" localSheetId="1">Analysis!$E$40</definedName>
    <definedName name="SkipWeekends">Analysis!$E$40</definedName>
    <definedName name="SpentColumn" localSheetId="1">Analysis!$E$45</definedName>
    <definedName name="SpentColumn">Analysis!$E$45</definedName>
    <definedName name="SprintDates" localSheetId="1">Sprint!$J$1:$CD$1</definedName>
    <definedName name="SprintDates">Sprint!$J$1:$CD$1</definedName>
    <definedName name="SprintStart">Capacity!$E$3</definedName>
    <definedName name="Start_Date">Capacity!$E$3</definedName>
    <definedName name="StatusColumn" localSheetId="1">Analysis!$E$47</definedName>
    <definedName name="StatusColumn">Analysis!$E$47</definedName>
    <definedName name="StatusTypes" localSheetId="1">Analysis!$A$50:$A$50</definedName>
    <definedName name="StatusTypes">Analysis!$A$50:$A$50</definedName>
    <definedName name="TotalEffort" localSheetId="1">Sprint!$CE$4:$CE$198</definedName>
    <definedName name="TotalEffort">Sprint!$CE$4:$CE$198</definedName>
    <definedName name="Worktype">'Project Specific Reports'!$A$2:$A$5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A7" i="7" l="1"/>
  <c r="BD7" i="7" s="1"/>
  <c r="BG7" i="7" s="1"/>
  <c r="BJ7" i="7" s="1"/>
  <c r="BM7" i="7" s="1"/>
  <c r="BP7" i="7" s="1"/>
  <c r="BS7" i="7" s="1"/>
  <c r="BV7" i="7" s="1"/>
  <c r="BY7" i="7" s="1"/>
  <c r="CB7" i="7" s="1"/>
  <c r="BA198" i="7"/>
  <c r="BD198" i="7" s="1"/>
  <c r="BG198" i="7" s="1"/>
  <c r="BJ198" i="7" s="1"/>
  <c r="BM198" i="7" s="1"/>
  <c r="BP198" i="7" s="1"/>
  <c r="BS198" i="7" s="1"/>
  <c r="BV198" i="7" s="1"/>
  <c r="BY198" i="7" s="1"/>
  <c r="CB198" i="7" s="1"/>
  <c r="BA197" i="7"/>
  <c r="BD197" i="7" s="1"/>
  <c r="BG197" i="7" s="1"/>
  <c r="BJ197" i="7" s="1"/>
  <c r="BM197" i="7" s="1"/>
  <c r="BP197" i="7" s="1"/>
  <c r="BS197" i="7" s="1"/>
  <c r="BV197" i="7" s="1"/>
  <c r="BY197" i="7" s="1"/>
  <c r="CB197" i="7" s="1"/>
  <c r="BA196" i="7"/>
  <c r="BD196" i="7" s="1"/>
  <c r="BG196" i="7" s="1"/>
  <c r="BJ196" i="7" s="1"/>
  <c r="BM196" i="7" s="1"/>
  <c r="BP196" i="7" s="1"/>
  <c r="BS196" i="7" s="1"/>
  <c r="BV196" i="7" s="1"/>
  <c r="BY196" i="7" s="1"/>
  <c r="CB196" i="7" s="1"/>
  <c r="BA195" i="7"/>
  <c r="BD195" i="7" s="1"/>
  <c r="BG195" i="7" s="1"/>
  <c r="BJ195" i="7" s="1"/>
  <c r="BM195" i="7" s="1"/>
  <c r="BP195" i="7" s="1"/>
  <c r="BS195" i="7" s="1"/>
  <c r="BV195" i="7" s="1"/>
  <c r="BY195" i="7" s="1"/>
  <c r="CB195" i="7" s="1"/>
  <c r="BA194" i="7"/>
  <c r="BD194" i="7" s="1"/>
  <c r="BG194" i="7" s="1"/>
  <c r="BJ194" i="7" s="1"/>
  <c r="BM194" i="7" s="1"/>
  <c r="BP194" i="7" s="1"/>
  <c r="BS194" i="7" s="1"/>
  <c r="BV194" i="7" s="1"/>
  <c r="BY194" i="7" s="1"/>
  <c r="CB194" i="7" s="1"/>
  <c r="BA193" i="7"/>
  <c r="BD193" i="7" s="1"/>
  <c r="BG193" i="7" s="1"/>
  <c r="BJ193" i="7" s="1"/>
  <c r="BM193" i="7" s="1"/>
  <c r="BP193" i="7" s="1"/>
  <c r="BS193" i="7" s="1"/>
  <c r="BV193" i="7" s="1"/>
  <c r="BY193" i="7" s="1"/>
  <c r="CB193" i="7" s="1"/>
  <c r="BA192" i="7"/>
  <c r="BD192" i="7" s="1"/>
  <c r="BG192" i="7" s="1"/>
  <c r="BJ192" i="7" s="1"/>
  <c r="BM192" i="7" s="1"/>
  <c r="BP192" i="7" s="1"/>
  <c r="BS192" i="7" s="1"/>
  <c r="BV192" i="7" s="1"/>
  <c r="BY192" i="7" s="1"/>
  <c r="CB192" i="7" s="1"/>
  <c r="BA191" i="7"/>
  <c r="BD191" i="7" s="1"/>
  <c r="BG191" i="7" s="1"/>
  <c r="BJ191" i="7" s="1"/>
  <c r="BM191" i="7" s="1"/>
  <c r="BP191" i="7" s="1"/>
  <c r="BS191" i="7" s="1"/>
  <c r="BV191" i="7" s="1"/>
  <c r="BY191" i="7" s="1"/>
  <c r="CB191" i="7" s="1"/>
  <c r="BA190" i="7"/>
  <c r="BD190" i="7" s="1"/>
  <c r="BG190" i="7" s="1"/>
  <c r="BJ190" i="7" s="1"/>
  <c r="BM190" i="7" s="1"/>
  <c r="BP190" i="7" s="1"/>
  <c r="BS190" i="7" s="1"/>
  <c r="BV190" i="7" s="1"/>
  <c r="BY190" i="7" s="1"/>
  <c r="CB190" i="7" s="1"/>
  <c r="BA189" i="7"/>
  <c r="BD189" i="7" s="1"/>
  <c r="BG189" i="7" s="1"/>
  <c r="BJ189" i="7" s="1"/>
  <c r="BM189" i="7" s="1"/>
  <c r="BP189" i="7" s="1"/>
  <c r="BS189" i="7" s="1"/>
  <c r="BV189" i="7" s="1"/>
  <c r="BY189" i="7" s="1"/>
  <c r="CB189" i="7" s="1"/>
  <c r="BA188" i="7"/>
  <c r="BD188" i="7" s="1"/>
  <c r="BG188" i="7" s="1"/>
  <c r="BJ188" i="7" s="1"/>
  <c r="BM188" i="7" s="1"/>
  <c r="BP188" i="7" s="1"/>
  <c r="BS188" i="7" s="1"/>
  <c r="BV188" i="7" s="1"/>
  <c r="BY188" i="7" s="1"/>
  <c r="CB188" i="7" s="1"/>
  <c r="BA187" i="7"/>
  <c r="BD187" i="7" s="1"/>
  <c r="BG187" i="7" s="1"/>
  <c r="BJ187" i="7" s="1"/>
  <c r="BM187" i="7" s="1"/>
  <c r="BP187" i="7" s="1"/>
  <c r="BS187" i="7" s="1"/>
  <c r="BV187" i="7" s="1"/>
  <c r="BY187" i="7" s="1"/>
  <c r="CB187" i="7" s="1"/>
  <c r="BA186" i="7"/>
  <c r="BD186" i="7" s="1"/>
  <c r="BG186" i="7" s="1"/>
  <c r="BJ186" i="7" s="1"/>
  <c r="BM186" i="7" s="1"/>
  <c r="BP186" i="7" s="1"/>
  <c r="BS186" i="7" s="1"/>
  <c r="BV186" i="7" s="1"/>
  <c r="BY186" i="7" s="1"/>
  <c r="CB186" i="7" s="1"/>
  <c r="BA185" i="7"/>
  <c r="BD185" i="7" s="1"/>
  <c r="BG185" i="7" s="1"/>
  <c r="BJ185" i="7" s="1"/>
  <c r="BM185" i="7" s="1"/>
  <c r="BP185" i="7" s="1"/>
  <c r="BS185" i="7" s="1"/>
  <c r="BV185" i="7" s="1"/>
  <c r="BY185" i="7" s="1"/>
  <c r="CB185" i="7" s="1"/>
  <c r="BA184" i="7"/>
  <c r="BD184" i="7" s="1"/>
  <c r="BG184" i="7" s="1"/>
  <c r="BJ184" i="7" s="1"/>
  <c r="BM184" i="7" s="1"/>
  <c r="BP184" i="7" s="1"/>
  <c r="BS184" i="7" s="1"/>
  <c r="BV184" i="7" s="1"/>
  <c r="BY184" i="7" s="1"/>
  <c r="CB184" i="7" s="1"/>
  <c r="BA183" i="7"/>
  <c r="BD183" i="7" s="1"/>
  <c r="BG183" i="7" s="1"/>
  <c r="BJ183" i="7" s="1"/>
  <c r="BM183" i="7" s="1"/>
  <c r="BP183" i="7" s="1"/>
  <c r="BS183" i="7" s="1"/>
  <c r="BV183" i="7" s="1"/>
  <c r="BY183" i="7" s="1"/>
  <c r="CB183" i="7" s="1"/>
  <c r="BA182" i="7"/>
  <c r="BD182" i="7" s="1"/>
  <c r="BG182" i="7" s="1"/>
  <c r="BJ182" i="7" s="1"/>
  <c r="BM182" i="7" s="1"/>
  <c r="BP182" i="7" s="1"/>
  <c r="BS182" i="7" s="1"/>
  <c r="BV182" i="7" s="1"/>
  <c r="BY182" i="7" s="1"/>
  <c r="CB182" i="7" s="1"/>
  <c r="BA181" i="7"/>
  <c r="BD181" i="7" s="1"/>
  <c r="BG181" i="7" s="1"/>
  <c r="BJ181" i="7" s="1"/>
  <c r="BM181" i="7" s="1"/>
  <c r="BP181" i="7" s="1"/>
  <c r="BS181" i="7" s="1"/>
  <c r="BV181" i="7" s="1"/>
  <c r="BY181" i="7" s="1"/>
  <c r="CB181" i="7" s="1"/>
  <c r="BA180" i="7"/>
  <c r="BD180" i="7" s="1"/>
  <c r="BG180" i="7" s="1"/>
  <c r="BJ180" i="7" s="1"/>
  <c r="BM180" i="7" s="1"/>
  <c r="BP180" i="7" s="1"/>
  <c r="BS180" i="7" s="1"/>
  <c r="BV180" i="7" s="1"/>
  <c r="BY180" i="7" s="1"/>
  <c r="CB180" i="7" s="1"/>
  <c r="BA179" i="7"/>
  <c r="BD179" i="7" s="1"/>
  <c r="BG179" i="7" s="1"/>
  <c r="BJ179" i="7" s="1"/>
  <c r="BM179" i="7" s="1"/>
  <c r="BP179" i="7" s="1"/>
  <c r="BS179" i="7" s="1"/>
  <c r="BV179" i="7" s="1"/>
  <c r="BY179" i="7" s="1"/>
  <c r="CB179" i="7" s="1"/>
  <c r="BA178" i="7"/>
  <c r="BD178" i="7" s="1"/>
  <c r="BG178" i="7" s="1"/>
  <c r="BJ178" i="7" s="1"/>
  <c r="BM178" i="7" s="1"/>
  <c r="BP178" i="7" s="1"/>
  <c r="BS178" i="7" s="1"/>
  <c r="BV178" i="7" s="1"/>
  <c r="BY178" i="7" s="1"/>
  <c r="CB178" i="7" s="1"/>
  <c r="BA177" i="7"/>
  <c r="BD177" i="7" s="1"/>
  <c r="BG177" i="7" s="1"/>
  <c r="BJ177" i="7" s="1"/>
  <c r="BM177" i="7" s="1"/>
  <c r="BP177" i="7" s="1"/>
  <c r="BS177" i="7" s="1"/>
  <c r="BV177" i="7" s="1"/>
  <c r="BY177" i="7" s="1"/>
  <c r="CB177" i="7" s="1"/>
  <c r="BA176" i="7"/>
  <c r="BD176" i="7" s="1"/>
  <c r="BG176" i="7" s="1"/>
  <c r="BJ176" i="7" s="1"/>
  <c r="BM176" i="7" s="1"/>
  <c r="BP176" i="7" s="1"/>
  <c r="BS176" i="7" s="1"/>
  <c r="BV176" i="7" s="1"/>
  <c r="BY176" i="7" s="1"/>
  <c r="CB176" i="7" s="1"/>
  <c r="BA175" i="7"/>
  <c r="BD175" i="7" s="1"/>
  <c r="BG175" i="7" s="1"/>
  <c r="BJ175" i="7" s="1"/>
  <c r="BM175" i="7" s="1"/>
  <c r="BP175" i="7" s="1"/>
  <c r="BS175" i="7" s="1"/>
  <c r="BV175" i="7" s="1"/>
  <c r="BY175" i="7" s="1"/>
  <c r="CB175" i="7" s="1"/>
  <c r="BA174" i="7"/>
  <c r="BD174" i="7" s="1"/>
  <c r="BG174" i="7" s="1"/>
  <c r="BJ174" i="7" s="1"/>
  <c r="BM174" i="7" s="1"/>
  <c r="BP174" i="7" s="1"/>
  <c r="BS174" i="7" s="1"/>
  <c r="BV174" i="7" s="1"/>
  <c r="BY174" i="7" s="1"/>
  <c r="CB174" i="7" s="1"/>
  <c r="BA173" i="7"/>
  <c r="BD173" i="7" s="1"/>
  <c r="BG173" i="7" s="1"/>
  <c r="BJ173" i="7" s="1"/>
  <c r="BM173" i="7" s="1"/>
  <c r="BP173" i="7" s="1"/>
  <c r="BS173" i="7" s="1"/>
  <c r="BV173" i="7" s="1"/>
  <c r="BY173" i="7" s="1"/>
  <c r="CB173" i="7" s="1"/>
  <c r="BA172" i="7"/>
  <c r="BD172" i="7" s="1"/>
  <c r="BG172" i="7" s="1"/>
  <c r="BJ172" i="7" s="1"/>
  <c r="BM172" i="7" s="1"/>
  <c r="BP172" i="7" s="1"/>
  <c r="BS172" i="7" s="1"/>
  <c r="BV172" i="7" s="1"/>
  <c r="BY172" i="7" s="1"/>
  <c r="CB172" i="7" s="1"/>
  <c r="BA171" i="7"/>
  <c r="BD171" i="7" s="1"/>
  <c r="BG171" i="7" s="1"/>
  <c r="BJ171" i="7" s="1"/>
  <c r="BM171" i="7" s="1"/>
  <c r="BP171" i="7" s="1"/>
  <c r="BS171" i="7" s="1"/>
  <c r="BV171" i="7" s="1"/>
  <c r="BY171" i="7" s="1"/>
  <c r="CB171" i="7" s="1"/>
  <c r="BA170" i="7"/>
  <c r="BD170" i="7" s="1"/>
  <c r="BG170" i="7" s="1"/>
  <c r="BJ170" i="7" s="1"/>
  <c r="BM170" i="7" s="1"/>
  <c r="BP170" i="7" s="1"/>
  <c r="BS170" i="7" s="1"/>
  <c r="BV170" i="7" s="1"/>
  <c r="BY170" i="7" s="1"/>
  <c r="CB170" i="7" s="1"/>
  <c r="BA169" i="7"/>
  <c r="BD169" i="7" s="1"/>
  <c r="BG169" i="7" s="1"/>
  <c r="BJ169" i="7" s="1"/>
  <c r="BM169" i="7" s="1"/>
  <c r="BP169" i="7" s="1"/>
  <c r="BS169" i="7" s="1"/>
  <c r="BV169" i="7" s="1"/>
  <c r="BY169" i="7" s="1"/>
  <c r="CB169" i="7" s="1"/>
  <c r="BA168" i="7"/>
  <c r="BD168" i="7" s="1"/>
  <c r="BG168" i="7" s="1"/>
  <c r="BJ168" i="7" s="1"/>
  <c r="BM168" i="7" s="1"/>
  <c r="BP168" i="7" s="1"/>
  <c r="BS168" i="7" s="1"/>
  <c r="BV168" i="7" s="1"/>
  <c r="BY168" i="7" s="1"/>
  <c r="CB168" i="7" s="1"/>
  <c r="BA167" i="7"/>
  <c r="BD167" i="7" s="1"/>
  <c r="BG167" i="7" s="1"/>
  <c r="BJ167" i="7" s="1"/>
  <c r="BM167" i="7" s="1"/>
  <c r="BP167" i="7" s="1"/>
  <c r="BS167" i="7" s="1"/>
  <c r="BV167" i="7" s="1"/>
  <c r="BY167" i="7" s="1"/>
  <c r="CB167" i="7" s="1"/>
  <c r="BA166" i="7"/>
  <c r="BD166" i="7" s="1"/>
  <c r="BG166" i="7" s="1"/>
  <c r="BJ166" i="7" s="1"/>
  <c r="BM166" i="7" s="1"/>
  <c r="BP166" i="7" s="1"/>
  <c r="BS166" i="7" s="1"/>
  <c r="BV166" i="7" s="1"/>
  <c r="BY166" i="7" s="1"/>
  <c r="CB166" i="7" s="1"/>
  <c r="BA165" i="7"/>
  <c r="BD165" i="7" s="1"/>
  <c r="BG165" i="7" s="1"/>
  <c r="BJ165" i="7" s="1"/>
  <c r="BM165" i="7" s="1"/>
  <c r="BP165" i="7" s="1"/>
  <c r="BS165" i="7" s="1"/>
  <c r="BV165" i="7" s="1"/>
  <c r="BY165" i="7" s="1"/>
  <c r="CB165" i="7" s="1"/>
  <c r="BA164" i="7"/>
  <c r="BD164" i="7" s="1"/>
  <c r="BG164" i="7" s="1"/>
  <c r="BJ164" i="7" s="1"/>
  <c r="BM164" i="7" s="1"/>
  <c r="BP164" i="7" s="1"/>
  <c r="BS164" i="7" s="1"/>
  <c r="BV164" i="7" s="1"/>
  <c r="BY164" i="7" s="1"/>
  <c r="CB164" i="7" s="1"/>
  <c r="BA163" i="7"/>
  <c r="BD163" i="7" s="1"/>
  <c r="BG163" i="7" s="1"/>
  <c r="BJ163" i="7" s="1"/>
  <c r="BM163" i="7" s="1"/>
  <c r="BP163" i="7" s="1"/>
  <c r="BS163" i="7" s="1"/>
  <c r="BV163" i="7" s="1"/>
  <c r="BY163" i="7" s="1"/>
  <c r="CB163" i="7" s="1"/>
  <c r="BA162" i="7"/>
  <c r="BD162" i="7" s="1"/>
  <c r="BG162" i="7" s="1"/>
  <c r="BJ162" i="7" s="1"/>
  <c r="BM162" i="7" s="1"/>
  <c r="BP162" i="7" s="1"/>
  <c r="BS162" i="7" s="1"/>
  <c r="BV162" i="7" s="1"/>
  <c r="BY162" i="7" s="1"/>
  <c r="CB162" i="7" s="1"/>
  <c r="BA161" i="7"/>
  <c r="BD161" i="7" s="1"/>
  <c r="BG161" i="7" s="1"/>
  <c r="BJ161" i="7" s="1"/>
  <c r="BM161" i="7" s="1"/>
  <c r="BP161" i="7" s="1"/>
  <c r="BS161" i="7" s="1"/>
  <c r="BV161" i="7" s="1"/>
  <c r="BY161" i="7" s="1"/>
  <c r="CB161" i="7" s="1"/>
  <c r="BA160" i="7"/>
  <c r="BD160" i="7" s="1"/>
  <c r="BG160" i="7" s="1"/>
  <c r="BJ160" i="7" s="1"/>
  <c r="BM160" i="7" s="1"/>
  <c r="BP160" i="7" s="1"/>
  <c r="BS160" i="7" s="1"/>
  <c r="BV160" i="7" s="1"/>
  <c r="BY160" i="7" s="1"/>
  <c r="CB160" i="7" s="1"/>
  <c r="BA159" i="7"/>
  <c r="BD159" i="7" s="1"/>
  <c r="BG159" i="7" s="1"/>
  <c r="BJ159" i="7" s="1"/>
  <c r="BM159" i="7" s="1"/>
  <c r="BP159" i="7" s="1"/>
  <c r="BS159" i="7" s="1"/>
  <c r="BV159" i="7" s="1"/>
  <c r="BY159" i="7" s="1"/>
  <c r="CB159" i="7" s="1"/>
  <c r="BA158" i="7"/>
  <c r="BD158" i="7" s="1"/>
  <c r="BG158" i="7" s="1"/>
  <c r="BJ158" i="7" s="1"/>
  <c r="BM158" i="7" s="1"/>
  <c r="BP158" i="7" s="1"/>
  <c r="BS158" i="7" s="1"/>
  <c r="BV158" i="7" s="1"/>
  <c r="BY158" i="7" s="1"/>
  <c r="CB158" i="7" s="1"/>
  <c r="BA157" i="7"/>
  <c r="BD157" i="7" s="1"/>
  <c r="BG157" i="7" s="1"/>
  <c r="BJ157" i="7" s="1"/>
  <c r="BM157" i="7" s="1"/>
  <c r="BP157" i="7" s="1"/>
  <c r="BS157" i="7" s="1"/>
  <c r="BV157" i="7" s="1"/>
  <c r="BY157" i="7" s="1"/>
  <c r="CB157" i="7" s="1"/>
  <c r="BA156" i="7"/>
  <c r="BD156" i="7" s="1"/>
  <c r="BG156" i="7" s="1"/>
  <c r="BJ156" i="7" s="1"/>
  <c r="BM156" i="7" s="1"/>
  <c r="BP156" i="7" s="1"/>
  <c r="BS156" i="7" s="1"/>
  <c r="BV156" i="7" s="1"/>
  <c r="BY156" i="7" s="1"/>
  <c r="CB156" i="7" s="1"/>
  <c r="BA155" i="7"/>
  <c r="BD155" i="7" s="1"/>
  <c r="BG155" i="7" s="1"/>
  <c r="BJ155" i="7" s="1"/>
  <c r="BM155" i="7" s="1"/>
  <c r="BP155" i="7" s="1"/>
  <c r="BS155" i="7" s="1"/>
  <c r="BV155" i="7" s="1"/>
  <c r="BY155" i="7" s="1"/>
  <c r="CB155" i="7" s="1"/>
  <c r="BA154" i="7"/>
  <c r="BD154" i="7" s="1"/>
  <c r="BG154" i="7" s="1"/>
  <c r="BJ154" i="7" s="1"/>
  <c r="BM154" i="7" s="1"/>
  <c r="BP154" i="7" s="1"/>
  <c r="BS154" i="7" s="1"/>
  <c r="BV154" i="7" s="1"/>
  <c r="BY154" i="7" s="1"/>
  <c r="CB154" i="7" s="1"/>
  <c r="BA153" i="7"/>
  <c r="BD153" i="7" s="1"/>
  <c r="BG153" i="7" s="1"/>
  <c r="BJ153" i="7" s="1"/>
  <c r="BM153" i="7" s="1"/>
  <c r="BP153" i="7" s="1"/>
  <c r="BS153" i="7" s="1"/>
  <c r="BV153" i="7" s="1"/>
  <c r="BY153" i="7" s="1"/>
  <c r="CB153" i="7" s="1"/>
  <c r="BA152" i="7"/>
  <c r="BD152" i="7" s="1"/>
  <c r="BG152" i="7" s="1"/>
  <c r="BJ152" i="7" s="1"/>
  <c r="BM152" i="7" s="1"/>
  <c r="BP152" i="7" s="1"/>
  <c r="BS152" i="7" s="1"/>
  <c r="BV152" i="7" s="1"/>
  <c r="BY152" i="7" s="1"/>
  <c r="CB152" i="7" s="1"/>
  <c r="BA151" i="7"/>
  <c r="BD151" i="7" s="1"/>
  <c r="BG151" i="7" s="1"/>
  <c r="BJ151" i="7" s="1"/>
  <c r="BM151" i="7" s="1"/>
  <c r="BP151" i="7" s="1"/>
  <c r="BS151" i="7" s="1"/>
  <c r="BV151" i="7" s="1"/>
  <c r="BY151" i="7" s="1"/>
  <c r="CB151" i="7" s="1"/>
  <c r="BA150" i="7"/>
  <c r="BD150" i="7" s="1"/>
  <c r="BG150" i="7" s="1"/>
  <c r="BJ150" i="7" s="1"/>
  <c r="BM150" i="7" s="1"/>
  <c r="BP150" i="7" s="1"/>
  <c r="BS150" i="7" s="1"/>
  <c r="BV150" i="7" s="1"/>
  <c r="BY150" i="7" s="1"/>
  <c r="CB150" i="7" s="1"/>
  <c r="BA149" i="7"/>
  <c r="BD149" i="7" s="1"/>
  <c r="BG149" i="7" s="1"/>
  <c r="BJ149" i="7" s="1"/>
  <c r="BM149" i="7" s="1"/>
  <c r="BP149" i="7" s="1"/>
  <c r="BS149" i="7" s="1"/>
  <c r="BV149" i="7" s="1"/>
  <c r="BY149" i="7" s="1"/>
  <c r="CB149" i="7" s="1"/>
  <c r="BA148" i="7"/>
  <c r="BD148" i="7" s="1"/>
  <c r="BG148" i="7" s="1"/>
  <c r="BJ148" i="7" s="1"/>
  <c r="BM148" i="7" s="1"/>
  <c r="BP148" i="7" s="1"/>
  <c r="BS148" i="7" s="1"/>
  <c r="BV148" i="7" s="1"/>
  <c r="BY148" i="7" s="1"/>
  <c r="CB148" i="7" s="1"/>
  <c r="BA147" i="7"/>
  <c r="BD147" i="7" s="1"/>
  <c r="BG147" i="7" s="1"/>
  <c r="BJ147" i="7" s="1"/>
  <c r="BM147" i="7" s="1"/>
  <c r="BP147" i="7" s="1"/>
  <c r="BS147" i="7" s="1"/>
  <c r="BV147" i="7" s="1"/>
  <c r="BY147" i="7" s="1"/>
  <c r="CB147" i="7" s="1"/>
  <c r="BA146" i="7"/>
  <c r="BD146" i="7" s="1"/>
  <c r="BG146" i="7" s="1"/>
  <c r="BJ146" i="7" s="1"/>
  <c r="BM146" i="7" s="1"/>
  <c r="BP146" i="7" s="1"/>
  <c r="BS146" i="7" s="1"/>
  <c r="BV146" i="7" s="1"/>
  <c r="BY146" i="7" s="1"/>
  <c r="CB146" i="7" s="1"/>
  <c r="BA145" i="7"/>
  <c r="BD145" i="7" s="1"/>
  <c r="BG145" i="7" s="1"/>
  <c r="BJ145" i="7" s="1"/>
  <c r="BM145" i="7" s="1"/>
  <c r="BP145" i="7" s="1"/>
  <c r="BS145" i="7" s="1"/>
  <c r="BV145" i="7" s="1"/>
  <c r="BY145" i="7" s="1"/>
  <c r="CB145" i="7" s="1"/>
  <c r="BA144" i="7"/>
  <c r="BD144" i="7" s="1"/>
  <c r="BG144" i="7" s="1"/>
  <c r="BJ144" i="7" s="1"/>
  <c r="BM144" i="7" s="1"/>
  <c r="BP144" i="7" s="1"/>
  <c r="BS144" i="7" s="1"/>
  <c r="BV144" i="7" s="1"/>
  <c r="BY144" i="7" s="1"/>
  <c r="CB144" i="7" s="1"/>
  <c r="BA143" i="7"/>
  <c r="BD143" i="7" s="1"/>
  <c r="BG143" i="7" s="1"/>
  <c r="BJ143" i="7" s="1"/>
  <c r="BM143" i="7" s="1"/>
  <c r="BP143" i="7" s="1"/>
  <c r="BS143" i="7" s="1"/>
  <c r="BV143" i="7" s="1"/>
  <c r="BY143" i="7" s="1"/>
  <c r="CB143" i="7" s="1"/>
  <c r="BA142" i="7"/>
  <c r="BD142" i="7" s="1"/>
  <c r="BG142" i="7" s="1"/>
  <c r="BJ142" i="7" s="1"/>
  <c r="BM142" i="7" s="1"/>
  <c r="BP142" i="7" s="1"/>
  <c r="BS142" i="7" s="1"/>
  <c r="BV142" i="7" s="1"/>
  <c r="BY142" i="7" s="1"/>
  <c r="CB142" i="7" s="1"/>
  <c r="BA141" i="7"/>
  <c r="BD141" i="7" s="1"/>
  <c r="BG141" i="7" s="1"/>
  <c r="BJ141" i="7" s="1"/>
  <c r="BM141" i="7" s="1"/>
  <c r="BP141" i="7" s="1"/>
  <c r="BS141" i="7" s="1"/>
  <c r="BV141" i="7" s="1"/>
  <c r="BY141" i="7" s="1"/>
  <c r="CB141" i="7" s="1"/>
  <c r="BA140" i="7"/>
  <c r="BD140" i="7" s="1"/>
  <c r="BG140" i="7" s="1"/>
  <c r="BJ140" i="7" s="1"/>
  <c r="BM140" i="7" s="1"/>
  <c r="BP140" i="7" s="1"/>
  <c r="BS140" i="7" s="1"/>
  <c r="BV140" i="7" s="1"/>
  <c r="BY140" i="7" s="1"/>
  <c r="CB140" i="7" s="1"/>
  <c r="BA139" i="7"/>
  <c r="BD139" i="7" s="1"/>
  <c r="BG139" i="7" s="1"/>
  <c r="BJ139" i="7" s="1"/>
  <c r="BM139" i="7" s="1"/>
  <c r="BP139" i="7" s="1"/>
  <c r="BS139" i="7" s="1"/>
  <c r="BV139" i="7" s="1"/>
  <c r="BY139" i="7" s="1"/>
  <c r="CB139" i="7" s="1"/>
  <c r="BA138" i="7"/>
  <c r="BD138" i="7" s="1"/>
  <c r="BG138" i="7" s="1"/>
  <c r="BJ138" i="7" s="1"/>
  <c r="BM138" i="7" s="1"/>
  <c r="BP138" i="7" s="1"/>
  <c r="BS138" i="7" s="1"/>
  <c r="BV138" i="7" s="1"/>
  <c r="BY138" i="7" s="1"/>
  <c r="CB138" i="7" s="1"/>
  <c r="BA137" i="7"/>
  <c r="BD137" i="7" s="1"/>
  <c r="BG137" i="7" s="1"/>
  <c r="BJ137" i="7" s="1"/>
  <c r="BM137" i="7" s="1"/>
  <c r="BP137" i="7" s="1"/>
  <c r="BS137" i="7" s="1"/>
  <c r="BV137" i="7" s="1"/>
  <c r="BY137" i="7" s="1"/>
  <c r="CB137" i="7" s="1"/>
  <c r="BA136" i="7"/>
  <c r="BD136" i="7" s="1"/>
  <c r="BG136" i="7" s="1"/>
  <c r="BJ136" i="7" s="1"/>
  <c r="BM136" i="7" s="1"/>
  <c r="BP136" i="7" s="1"/>
  <c r="BS136" i="7" s="1"/>
  <c r="BV136" i="7" s="1"/>
  <c r="BY136" i="7" s="1"/>
  <c r="CB136" i="7" s="1"/>
  <c r="BA135" i="7"/>
  <c r="BD135" i="7" s="1"/>
  <c r="BG135" i="7" s="1"/>
  <c r="BJ135" i="7" s="1"/>
  <c r="BM135" i="7" s="1"/>
  <c r="BP135" i="7" s="1"/>
  <c r="BS135" i="7" s="1"/>
  <c r="BV135" i="7" s="1"/>
  <c r="BY135" i="7" s="1"/>
  <c r="CB135" i="7" s="1"/>
  <c r="BA134" i="7"/>
  <c r="BD134" i="7" s="1"/>
  <c r="BG134" i="7" s="1"/>
  <c r="BJ134" i="7" s="1"/>
  <c r="BM134" i="7" s="1"/>
  <c r="BP134" i="7" s="1"/>
  <c r="BS134" i="7" s="1"/>
  <c r="BV134" i="7" s="1"/>
  <c r="BY134" i="7" s="1"/>
  <c r="CB134" i="7" s="1"/>
  <c r="BA133" i="7"/>
  <c r="BD133" i="7" s="1"/>
  <c r="BG133" i="7" s="1"/>
  <c r="BJ133" i="7" s="1"/>
  <c r="BM133" i="7" s="1"/>
  <c r="BP133" i="7" s="1"/>
  <c r="BS133" i="7" s="1"/>
  <c r="BV133" i="7" s="1"/>
  <c r="BY133" i="7" s="1"/>
  <c r="CB133" i="7" s="1"/>
  <c r="BA132" i="7"/>
  <c r="BD132" i="7" s="1"/>
  <c r="BG132" i="7" s="1"/>
  <c r="BJ132" i="7" s="1"/>
  <c r="BM132" i="7" s="1"/>
  <c r="BP132" i="7" s="1"/>
  <c r="BS132" i="7" s="1"/>
  <c r="BV132" i="7" s="1"/>
  <c r="BY132" i="7" s="1"/>
  <c r="CB132" i="7" s="1"/>
  <c r="BA131" i="7"/>
  <c r="BD131" i="7" s="1"/>
  <c r="BG131" i="7" s="1"/>
  <c r="BJ131" i="7" s="1"/>
  <c r="BM131" i="7" s="1"/>
  <c r="BP131" i="7" s="1"/>
  <c r="BS131" i="7" s="1"/>
  <c r="BV131" i="7" s="1"/>
  <c r="BY131" i="7" s="1"/>
  <c r="CB131" i="7" s="1"/>
  <c r="BA130" i="7"/>
  <c r="BD130" i="7" s="1"/>
  <c r="BG130" i="7" s="1"/>
  <c r="BJ130" i="7" s="1"/>
  <c r="BM130" i="7" s="1"/>
  <c r="BP130" i="7" s="1"/>
  <c r="BS130" i="7" s="1"/>
  <c r="BV130" i="7" s="1"/>
  <c r="BY130" i="7" s="1"/>
  <c r="CB130" i="7" s="1"/>
  <c r="BA129" i="7"/>
  <c r="BD129" i="7" s="1"/>
  <c r="BG129" i="7" s="1"/>
  <c r="BJ129" i="7" s="1"/>
  <c r="BM129" i="7" s="1"/>
  <c r="BP129" i="7" s="1"/>
  <c r="BS129" i="7" s="1"/>
  <c r="BV129" i="7" s="1"/>
  <c r="BY129" i="7" s="1"/>
  <c r="CB129" i="7" s="1"/>
  <c r="BA128" i="7"/>
  <c r="BD128" i="7" s="1"/>
  <c r="BG128" i="7" s="1"/>
  <c r="BJ128" i="7" s="1"/>
  <c r="BM128" i="7" s="1"/>
  <c r="BP128" i="7" s="1"/>
  <c r="BS128" i="7" s="1"/>
  <c r="BV128" i="7" s="1"/>
  <c r="BY128" i="7" s="1"/>
  <c r="CB128" i="7" s="1"/>
  <c r="BA127" i="7"/>
  <c r="BD127" i="7" s="1"/>
  <c r="BG127" i="7" s="1"/>
  <c r="BJ127" i="7" s="1"/>
  <c r="BM127" i="7" s="1"/>
  <c r="BP127" i="7" s="1"/>
  <c r="BS127" i="7" s="1"/>
  <c r="BV127" i="7" s="1"/>
  <c r="BY127" i="7" s="1"/>
  <c r="CB127" i="7" s="1"/>
  <c r="BA126" i="7"/>
  <c r="BD126" i="7" s="1"/>
  <c r="BG126" i="7" s="1"/>
  <c r="BJ126" i="7" s="1"/>
  <c r="BM126" i="7" s="1"/>
  <c r="BP126" i="7" s="1"/>
  <c r="BS126" i="7" s="1"/>
  <c r="BV126" i="7" s="1"/>
  <c r="BY126" i="7" s="1"/>
  <c r="CB126" i="7" s="1"/>
  <c r="BA125" i="7"/>
  <c r="BD125" i="7" s="1"/>
  <c r="BG125" i="7" s="1"/>
  <c r="BJ125" i="7" s="1"/>
  <c r="BM125" i="7" s="1"/>
  <c r="BP125" i="7" s="1"/>
  <c r="BS125" i="7" s="1"/>
  <c r="BV125" i="7" s="1"/>
  <c r="BY125" i="7" s="1"/>
  <c r="CB125" i="7" s="1"/>
  <c r="BA124" i="7"/>
  <c r="BD124" i="7" s="1"/>
  <c r="BG124" i="7" s="1"/>
  <c r="BJ124" i="7" s="1"/>
  <c r="BM124" i="7" s="1"/>
  <c r="BP124" i="7" s="1"/>
  <c r="BS124" i="7" s="1"/>
  <c r="BV124" i="7" s="1"/>
  <c r="BY124" i="7" s="1"/>
  <c r="CB124" i="7" s="1"/>
  <c r="BA123" i="7"/>
  <c r="BD123" i="7" s="1"/>
  <c r="BG123" i="7" s="1"/>
  <c r="BJ123" i="7" s="1"/>
  <c r="BM123" i="7" s="1"/>
  <c r="BP123" i="7" s="1"/>
  <c r="BS123" i="7" s="1"/>
  <c r="BV123" i="7" s="1"/>
  <c r="BY123" i="7" s="1"/>
  <c r="CB123" i="7" s="1"/>
  <c r="BA122" i="7"/>
  <c r="BD122" i="7" s="1"/>
  <c r="BG122" i="7" s="1"/>
  <c r="BJ122" i="7" s="1"/>
  <c r="BM122" i="7" s="1"/>
  <c r="BP122" i="7" s="1"/>
  <c r="BS122" i="7" s="1"/>
  <c r="BV122" i="7" s="1"/>
  <c r="BY122" i="7" s="1"/>
  <c r="CB122" i="7" s="1"/>
  <c r="BA121" i="7"/>
  <c r="BD121" i="7" s="1"/>
  <c r="BG121" i="7" s="1"/>
  <c r="BJ121" i="7" s="1"/>
  <c r="BM121" i="7" s="1"/>
  <c r="BP121" i="7" s="1"/>
  <c r="BS121" i="7" s="1"/>
  <c r="BV121" i="7" s="1"/>
  <c r="BY121" i="7" s="1"/>
  <c r="CB121" i="7" s="1"/>
  <c r="BA120" i="7"/>
  <c r="BD120" i="7" s="1"/>
  <c r="BG120" i="7" s="1"/>
  <c r="BJ120" i="7" s="1"/>
  <c r="BM120" i="7" s="1"/>
  <c r="BP120" i="7" s="1"/>
  <c r="BS120" i="7" s="1"/>
  <c r="BV120" i="7" s="1"/>
  <c r="BY120" i="7" s="1"/>
  <c r="CB120" i="7" s="1"/>
  <c r="BA119" i="7"/>
  <c r="BD119" i="7" s="1"/>
  <c r="BG119" i="7" s="1"/>
  <c r="BJ119" i="7" s="1"/>
  <c r="BM119" i="7" s="1"/>
  <c r="BP119" i="7" s="1"/>
  <c r="BS119" i="7" s="1"/>
  <c r="BV119" i="7" s="1"/>
  <c r="BY119" i="7" s="1"/>
  <c r="CB119" i="7" s="1"/>
  <c r="BA118" i="7"/>
  <c r="BD118" i="7" s="1"/>
  <c r="BG118" i="7" s="1"/>
  <c r="BJ118" i="7" s="1"/>
  <c r="BM118" i="7" s="1"/>
  <c r="BP118" i="7" s="1"/>
  <c r="BS118" i="7" s="1"/>
  <c r="BV118" i="7" s="1"/>
  <c r="BY118" i="7" s="1"/>
  <c r="CB118" i="7" s="1"/>
  <c r="BA117" i="7"/>
  <c r="BD117" i="7" s="1"/>
  <c r="BG117" i="7" s="1"/>
  <c r="BJ117" i="7" s="1"/>
  <c r="BM117" i="7" s="1"/>
  <c r="BP117" i="7" s="1"/>
  <c r="BS117" i="7" s="1"/>
  <c r="BV117" i="7" s="1"/>
  <c r="BY117" i="7" s="1"/>
  <c r="CB117" i="7" s="1"/>
  <c r="BA116" i="7"/>
  <c r="BD116" i="7" s="1"/>
  <c r="BG116" i="7" s="1"/>
  <c r="BJ116" i="7" s="1"/>
  <c r="BM116" i="7" s="1"/>
  <c r="BP116" i="7" s="1"/>
  <c r="BS116" i="7" s="1"/>
  <c r="BV116" i="7" s="1"/>
  <c r="BY116" i="7" s="1"/>
  <c r="CB116" i="7" s="1"/>
  <c r="BA115" i="7"/>
  <c r="BD115" i="7" s="1"/>
  <c r="BG115" i="7" s="1"/>
  <c r="BJ115" i="7" s="1"/>
  <c r="BM115" i="7" s="1"/>
  <c r="BP115" i="7" s="1"/>
  <c r="BS115" i="7" s="1"/>
  <c r="BV115" i="7" s="1"/>
  <c r="BY115" i="7" s="1"/>
  <c r="CB115" i="7" s="1"/>
  <c r="BA114" i="7"/>
  <c r="BD114" i="7" s="1"/>
  <c r="BG114" i="7" s="1"/>
  <c r="BJ114" i="7" s="1"/>
  <c r="BM114" i="7" s="1"/>
  <c r="BP114" i="7" s="1"/>
  <c r="BS114" i="7" s="1"/>
  <c r="BV114" i="7" s="1"/>
  <c r="BY114" i="7" s="1"/>
  <c r="CB114" i="7" s="1"/>
  <c r="BA113" i="7"/>
  <c r="BD113" i="7" s="1"/>
  <c r="BG113" i="7" s="1"/>
  <c r="BJ113" i="7" s="1"/>
  <c r="BM113" i="7" s="1"/>
  <c r="BP113" i="7" s="1"/>
  <c r="BS113" i="7" s="1"/>
  <c r="BV113" i="7" s="1"/>
  <c r="BY113" i="7" s="1"/>
  <c r="CB113" i="7" s="1"/>
  <c r="BA112" i="7"/>
  <c r="BD112" i="7" s="1"/>
  <c r="BG112" i="7" s="1"/>
  <c r="BJ112" i="7" s="1"/>
  <c r="BM112" i="7" s="1"/>
  <c r="BP112" i="7" s="1"/>
  <c r="BS112" i="7" s="1"/>
  <c r="BV112" i="7" s="1"/>
  <c r="BY112" i="7" s="1"/>
  <c r="CB112" i="7" s="1"/>
  <c r="BA111" i="7"/>
  <c r="BD111" i="7" s="1"/>
  <c r="BG111" i="7" s="1"/>
  <c r="BJ111" i="7" s="1"/>
  <c r="BM111" i="7" s="1"/>
  <c r="BP111" i="7" s="1"/>
  <c r="BS111" i="7" s="1"/>
  <c r="BV111" i="7" s="1"/>
  <c r="BY111" i="7" s="1"/>
  <c r="CB111" i="7" s="1"/>
  <c r="BA110" i="7"/>
  <c r="BD110" i="7" s="1"/>
  <c r="BG110" i="7" s="1"/>
  <c r="BJ110" i="7" s="1"/>
  <c r="BM110" i="7" s="1"/>
  <c r="BP110" i="7" s="1"/>
  <c r="BS110" i="7" s="1"/>
  <c r="BV110" i="7" s="1"/>
  <c r="BY110" i="7" s="1"/>
  <c r="CB110" i="7" s="1"/>
  <c r="BA109" i="7"/>
  <c r="BD109" i="7" s="1"/>
  <c r="BG109" i="7" s="1"/>
  <c r="BJ109" i="7" s="1"/>
  <c r="BM109" i="7" s="1"/>
  <c r="BP109" i="7" s="1"/>
  <c r="BS109" i="7" s="1"/>
  <c r="BV109" i="7" s="1"/>
  <c r="BY109" i="7" s="1"/>
  <c r="CB109" i="7" s="1"/>
  <c r="BA108" i="7"/>
  <c r="BD108" i="7" s="1"/>
  <c r="BG108" i="7" s="1"/>
  <c r="BJ108" i="7" s="1"/>
  <c r="BM108" i="7" s="1"/>
  <c r="BP108" i="7" s="1"/>
  <c r="BS108" i="7" s="1"/>
  <c r="BV108" i="7" s="1"/>
  <c r="BY108" i="7" s="1"/>
  <c r="CB108" i="7" s="1"/>
  <c r="BA107" i="7"/>
  <c r="BD107" i="7" s="1"/>
  <c r="BG107" i="7" s="1"/>
  <c r="BJ107" i="7" s="1"/>
  <c r="BM107" i="7" s="1"/>
  <c r="BP107" i="7" s="1"/>
  <c r="BS107" i="7" s="1"/>
  <c r="BV107" i="7" s="1"/>
  <c r="BY107" i="7" s="1"/>
  <c r="CB107" i="7" s="1"/>
  <c r="BA106" i="7"/>
  <c r="BD106" i="7" s="1"/>
  <c r="BG106" i="7" s="1"/>
  <c r="BJ106" i="7" s="1"/>
  <c r="BM106" i="7" s="1"/>
  <c r="BP106" i="7" s="1"/>
  <c r="BS106" i="7" s="1"/>
  <c r="BV106" i="7" s="1"/>
  <c r="BY106" i="7" s="1"/>
  <c r="CB106" i="7" s="1"/>
  <c r="BA105" i="7"/>
  <c r="BD105" i="7" s="1"/>
  <c r="BG105" i="7" s="1"/>
  <c r="BJ105" i="7" s="1"/>
  <c r="BM105" i="7" s="1"/>
  <c r="BP105" i="7" s="1"/>
  <c r="BS105" i="7" s="1"/>
  <c r="BV105" i="7" s="1"/>
  <c r="BY105" i="7" s="1"/>
  <c r="CB105" i="7" s="1"/>
  <c r="BA104" i="7"/>
  <c r="BD104" i="7" s="1"/>
  <c r="BG104" i="7" s="1"/>
  <c r="BJ104" i="7" s="1"/>
  <c r="BM104" i="7" s="1"/>
  <c r="BP104" i="7" s="1"/>
  <c r="BS104" i="7" s="1"/>
  <c r="BV104" i="7" s="1"/>
  <c r="BY104" i="7" s="1"/>
  <c r="CB104" i="7" s="1"/>
  <c r="BA103" i="7"/>
  <c r="BD103" i="7" s="1"/>
  <c r="BG103" i="7" s="1"/>
  <c r="BJ103" i="7" s="1"/>
  <c r="BM103" i="7" s="1"/>
  <c r="BP103" i="7" s="1"/>
  <c r="BS103" i="7" s="1"/>
  <c r="BV103" i="7" s="1"/>
  <c r="BY103" i="7" s="1"/>
  <c r="CB103" i="7" s="1"/>
  <c r="BA102" i="7"/>
  <c r="BD102" i="7" s="1"/>
  <c r="BG102" i="7" s="1"/>
  <c r="BJ102" i="7" s="1"/>
  <c r="BM102" i="7" s="1"/>
  <c r="BP102" i="7" s="1"/>
  <c r="BS102" i="7" s="1"/>
  <c r="BV102" i="7" s="1"/>
  <c r="BY102" i="7" s="1"/>
  <c r="CB102" i="7" s="1"/>
  <c r="BA101" i="7"/>
  <c r="BD101" i="7" s="1"/>
  <c r="BG101" i="7" s="1"/>
  <c r="BJ101" i="7" s="1"/>
  <c r="BM101" i="7" s="1"/>
  <c r="BP101" i="7" s="1"/>
  <c r="BS101" i="7" s="1"/>
  <c r="BV101" i="7" s="1"/>
  <c r="BY101" i="7" s="1"/>
  <c r="CB101" i="7" s="1"/>
  <c r="BA100" i="7"/>
  <c r="BD100" i="7" s="1"/>
  <c r="BG100" i="7" s="1"/>
  <c r="BJ100" i="7" s="1"/>
  <c r="BM100" i="7" s="1"/>
  <c r="BP100" i="7" s="1"/>
  <c r="BS100" i="7" s="1"/>
  <c r="BV100" i="7" s="1"/>
  <c r="BY100" i="7" s="1"/>
  <c r="CB100" i="7" s="1"/>
  <c r="BA99" i="7"/>
  <c r="BD99" i="7" s="1"/>
  <c r="BG99" i="7" s="1"/>
  <c r="BJ99" i="7" s="1"/>
  <c r="BM99" i="7" s="1"/>
  <c r="BP99" i="7" s="1"/>
  <c r="BS99" i="7" s="1"/>
  <c r="BV99" i="7" s="1"/>
  <c r="BY99" i="7" s="1"/>
  <c r="CB99" i="7" s="1"/>
  <c r="BA98" i="7"/>
  <c r="BD98" i="7" s="1"/>
  <c r="BG98" i="7" s="1"/>
  <c r="BJ98" i="7" s="1"/>
  <c r="BM98" i="7" s="1"/>
  <c r="BP98" i="7" s="1"/>
  <c r="BS98" i="7" s="1"/>
  <c r="BV98" i="7" s="1"/>
  <c r="BY98" i="7" s="1"/>
  <c r="CB98" i="7" s="1"/>
  <c r="BA97" i="7"/>
  <c r="BD97" i="7" s="1"/>
  <c r="BG97" i="7" s="1"/>
  <c r="BJ97" i="7" s="1"/>
  <c r="BM97" i="7" s="1"/>
  <c r="BP97" i="7" s="1"/>
  <c r="BS97" i="7" s="1"/>
  <c r="BV97" i="7" s="1"/>
  <c r="BY97" i="7" s="1"/>
  <c r="CB97" i="7" s="1"/>
  <c r="BA96" i="7"/>
  <c r="BD96" i="7" s="1"/>
  <c r="BG96" i="7" s="1"/>
  <c r="BJ96" i="7" s="1"/>
  <c r="BM96" i="7" s="1"/>
  <c r="BP96" i="7" s="1"/>
  <c r="BS96" i="7" s="1"/>
  <c r="BV96" i="7" s="1"/>
  <c r="BY96" i="7" s="1"/>
  <c r="CB96" i="7" s="1"/>
  <c r="BA95" i="7"/>
  <c r="BD95" i="7" s="1"/>
  <c r="BG95" i="7" s="1"/>
  <c r="BJ95" i="7" s="1"/>
  <c r="BM95" i="7" s="1"/>
  <c r="BP95" i="7" s="1"/>
  <c r="BS95" i="7" s="1"/>
  <c r="BV95" i="7" s="1"/>
  <c r="BY95" i="7" s="1"/>
  <c r="CB95" i="7" s="1"/>
  <c r="BA94" i="7"/>
  <c r="BD94" i="7" s="1"/>
  <c r="BG94" i="7" s="1"/>
  <c r="BJ94" i="7" s="1"/>
  <c r="BM94" i="7" s="1"/>
  <c r="BP94" i="7" s="1"/>
  <c r="BS94" i="7" s="1"/>
  <c r="BV94" i="7" s="1"/>
  <c r="BY94" i="7" s="1"/>
  <c r="CB94" i="7" s="1"/>
  <c r="BA93" i="7"/>
  <c r="BD93" i="7" s="1"/>
  <c r="BG93" i="7" s="1"/>
  <c r="BJ93" i="7" s="1"/>
  <c r="BM93" i="7" s="1"/>
  <c r="BP93" i="7" s="1"/>
  <c r="BS93" i="7" s="1"/>
  <c r="BV93" i="7" s="1"/>
  <c r="BY93" i="7" s="1"/>
  <c r="CB93" i="7" s="1"/>
  <c r="BA92" i="7"/>
  <c r="BD92" i="7" s="1"/>
  <c r="BG92" i="7" s="1"/>
  <c r="BJ92" i="7" s="1"/>
  <c r="BM92" i="7" s="1"/>
  <c r="BP92" i="7" s="1"/>
  <c r="BS92" i="7" s="1"/>
  <c r="BV92" i="7" s="1"/>
  <c r="BY92" i="7" s="1"/>
  <c r="CB92" i="7" s="1"/>
  <c r="BA91" i="7"/>
  <c r="BD91" i="7" s="1"/>
  <c r="BG91" i="7" s="1"/>
  <c r="BJ91" i="7" s="1"/>
  <c r="BM91" i="7" s="1"/>
  <c r="BP91" i="7" s="1"/>
  <c r="BS91" i="7" s="1"/>
  <c r="BV91" i="7" s="1"/>
  <c r="BY91" i="7" s="1"/>
  <c r="CB91" i="7" s="1"/>
  <c r="BA90" i="7"/>
  <c r="BD90" i="7" s="1"/>
  <c r="BG90" i="7" s="1"/>
  <c r="BJ90" i="7" s="1"/>
  <c r="BM90" i="7" s="1"/>
  <c r="BP90" i="7" s="1"/>
  <c r="BS90" i="7" s="1"/>
  <c r="BV90" i="7" s="1"/>
  <c r="BY90" i="7" s="1"/>
  <c r="CB90" i="7" s="1"/>
  <c r="BA89" i="7"/>
  <c r="BD89" i="7" s="1"/>
  <c r="BG89" i="7" s="1"/>
  <c r="BJ89" i="7" s="1"/>
  <c r="BM89" i="7" s="1"/>
  <c r="BP89" i="7" s="1"/>
  <c r="BS89" i="7" s="1"/>
  <c r="BV89" i="7" s="1"/>
  <c r="BY89" i="7" s="1"/>
  <c r="CB89" i="7" s="1"/>
  <c r="BA88" i="7"/>
  <c r="BD88" i="7" s="1"/>
  <c r="BG88" i="7" s="1"/>
  <c r="BJ88" i="7" s="1"/>
  <c r="BM88" i="7" s="1"/>
  <c r="BP88" i="7" s="1"/>
  <c r="BS88" i="7" s="1"/>
  <c r="BV88" i="7" s="1"/>
  <c r="BY88" i="7" s="1"/>
  <c r="CB88" i="7" s="1"/>
  <c r="BA87" i="7"/>
  <c r="BD87" i="7" s="1"/>
  <c r="BG87" i="7" s="1"/>
  <c r="BJ87" i="7" s="1"/>
  <c r="BM87" i="7" s="1"/>
  <c r="BP87" i="7" s="1"/>
  <c r="BS87" i="7" s="1"/>
  <c r="BV87" i="7" s="1"/>
  <c r="BY87" i="7" s="1"/>
  <c r="CB87" i="7" s="1"/>
  <c r="BA86" i="7"/>
  <c r="BD86" i="7" s="1"/>
  <c r="BG86" i="7" s="1"/>
  <c r="BJ86" i="7" s="1"/>
  <c r="BM86" i="7" s="1"/>
  <c r="BP86" i="7" s="1"/>
  <c r="BS86" i="7" s="1"/>
  <c r="BV86" i="7" s="1"/>
  <c r="BY86" i="7" s="1"/>
  <c r="CB86" i="7" s="1"/>
  <c r="BA85" i="7"/>
  <c r="BD85" i="7" s="1"/>
  <c r="BG85" i="7" s="1"/>
  <c r="BJ85" i="7" s="1"/>
  <c r="BM85" i="7" s="1"/>
  <c r="BP85" i="7" s="1"/>
  <c r="BS85" i="7" s="1"/>
  <c r="BV85" i="7" s="1"/>
  <c r="BY85" i="7" s="1"/>
  <c r="CB85" i="7" s="1"/>
  <c r="BA84" i="7"/>
  <c r="BD84" i="7" s="1"/>
  <c r="BG84" i="7" s="1"/>
  <c r="BJ84" i="7" s="1"/>
  <c r="BM84" i="7" s="1"/>
  <c r="BP84" i="7" s="1"/>
  <c r="BS84" i="7" s="1"/>
  <c r="BV84" i="7" s="1"/>
  <c r="BY84" i="7" s="1"/>
  <c r="CB84" i="7" s="1"/>
  <c r="BA83" i="7"/>
  <c r="BD83" i="7" s="1"/>
  <c r="BG83" i="7" s="1"/>
  <c r="BJ83" i="7" s="1"/>
  <c r="BM83" i="7" s="1"/>
  <c r="BP83" i="7" s="1"/>
  <c r="BS83" i="7" s="1"/>
  <c r="BV83" i="7" s="1"/>
  <c r="BY83" i="7" s="1"/>
  <c r="CB83" i="7" s="1"/>
  <c r="BA82" i="7"/>
  <c r="BD82" i="7" s="1"/>
  <c r="BG82" i="7" s="1"/>
  <c r="BJ82" i="7" s="1"/>
  <c r="BM82" i="7" s="1"/>
  <c r="BP82" i="7" s="1"/>
  <c r="BS82" i="7" s="1"/>
  <c r="BV82" i="7" s="1"/>
  <c r="BY82" i="7" s="1"/>
  <c r="CB82" i="7" s="1"/>
  <c r="BA81" i="7"/>
  <c r="BD81" i="7" s="1"/>
  <c r="BG81" i="7" s="1"/>
  <c r="BJ81" i="7" s="1"/>
  <c r="BM81" i="7" s="1"/>
  <c r="BP81" i="7" s="1"/>
  <c r="BS81" i="7" s="1"/>
  <c r="BV81" i="7" s="1"/>
  <c r="BY81" i="7" s="1"/>
  <c r="CB81" i="7" s="1"/>
  <c r="BA80" i="7"/>
  <c r="BD80" i="7" s="1"/>
  <c r="BG80" i="7" s="1"/>
  <c r="BJ80" i="7" s="1"/>
  <c r="BM80" i="7" s="1"/>
  <c r="BP80" i="7" s="1"/>
  <c r="BS80" i="7" s="1"/>
  <c r="BV80" i="7" s="1"/>
  <c r="BY80" i="7" s="1"/>
  <c r="CB80" i="7" s="1"/>
  <c r="BA79" i="7"/>
  <c r="BD79" i="7" s="1"/>
  <c r="BG79" i="7" s="1"/>
  <c r="BJ79" i="7" s="1"/>
  <c r="BM79" i="7" s="1"/>
  <c r="BP79" i="7" s="1"/>
  <c r="BS79" i="7" s="1"/>
  <c r="BV79" i="7" s="1"/>
  <c r="BY79" i="7" s="1"/>
  <c r="CB79" i="7" s="1"/>
  <c r="BA78" i="7"/>
  <c r="BD78" i="7" s="1"/>
  <c r="BG78" i="7" s="1"/>
  <c r="BJ78" i="7" s="1"/>
  <c r="BM78" i="7" s="1"/>
  <c r="BP78" i="7" s="1"/>
  <c r="BS78" i="7" s="1"/>
  <c r="BV78" i="7" s="1"/>
  <c r="BY78" i="7" s="1"/>
  <c r="CB78" i="7" s="1"/>
  <c r="BA77" i="7"/>
  <c r="BD77" i="7" s="1"/>
  <c r="BG77" i="7" s="1"/>
  <c r="BJ77" i="7" s="1"/>
  <c r="BM77" i="7" s="1"/>
  <c r="BP77" i="7" s="1"/>
  <c r="BS77" i="7" s="1"/>
  <c r="BV77" i="7" s="1"/>
  <c r="BY77" i="7" s="1"/>
  <c r="CB77" i="7" s="1"/>
  <c r="BA76" i="7"/>
  <c r="BD76" i="7" s="1"/>
  <c r="BG76" i="7" s="1"/>
  <c r="BJ76" i="7" s="1"/>
  <c r="BM76" i="7" s="1"/>
  <c r="BP76" i="7" s="1"/>
  <c r="BS76" i="7" s="1"/>
  <c r="BV76" i="7" s="1"/>
  <c r="BY76" i="7" s="1"/>
  <c r="CB76" i="7" s="1"/>
  <c r="BA75" i="7"/>
  <c r="BD75" i="7" s="1"/>
  <c r="BG75" i="7" s="1"/>
  <c r="BJ75" i="7" s="1"/>
  <c r="BM75" i="7" s="1"/>
  <c r="BP75" i="7" s="1"/>
  <c r="BS75" i="7" s="1"/>
  <c r="BV75" i="7" s="1"/>
  <c r="BY75" i="7" s="1"/>
  <c r="CB75" i="7" s="1"/>
  <c r="BA74" i="7"/>
  <c r="BD74" i="7" s="1"/>
  <c r="BG74" i="7" s="1"/>
  <c r="BJ74" i="7" s="1"/>
  <c r="BM74" i="7" s="1"/>
  <c r="BP74" i="7" s="1"/>
  <c r="BS74" i="7" s="1"/>
  <c r="BV74" i="7" s="1"/>
  <c r="BY74" i="7" s="1"/>
  <c r="CB74" i="7" s="1"/>
  <c r="BA73" i="7"/>
  <c r="BD73" i="7" s="1"/>
  <c r="BG73" i="7" s="1"/>
  <c r="BJ73" i="7" s="1"/>
  <c r="BM73" i="7" s="1"/>
  <c r="BP73" i="7" s="1"/>
  <c r="BS73" i="7" s="1"/>
  <c r="BV73" i="7" s="1"/>
  <c r="BY73" i="7" s="1"/>
  <c r="CB73" i="7" s="1"/>
  <c r="BA72" i="7"/>
  <c r="BD72" i="7" s="1"/>
  <c r="BG72" i="7" s="1"/>
  <c r="BJ72" i="7" s="1"/>
  <c r="BM72" i="7" s="1"/>
  <c r="BP72" i="7" s="1"/>
  <c r="BS72" i="7" s="1"/>
  <c r="BV72" i="7" s="1"/>
  <c r="BY72" i="7" s="1"/>
  <c r="CB72" i="7" s="1"/>
  <c r="BA71" i="7"/>
  <c r="BD71" i="7" s="1"/>
  <c r="BG71" i="7" s="1"/>
  <c r="BJ71" i="7" s="1"/>
  <c r="BM71" i="7" s="1"/>
  <c r="BP71" i="7" s="1"/>
  <c r="BS71" i="7" s="1"/>
  <c r="BV71" i="7" s="1"/>
  <c r="BY71" i="7" s="1"/>
  <c r="CB71" i="7" s="1"/>
  <c r="BA70" i="7"/>
  <c r="BD70" i="7" s="1"/>
  <c r="BG70" i="7" s="1"/>
  <c r="BJ70" i="7" s="1"/>
  <c r="BM70" i="7" s="1"/>
  <c r="BP70" i="7" s="1"/>
  <c r="BS70" i="7" s="1"/>
  <c r="BV70" i="7" s="1"/>
  <c r="BY70" i="7" s="1"/>
  <c r="CB70" i="7" s="1"/>
  <c r="BA69" i="7"/>
  <c r="BD69" i="7" s="1"/>
  <c r="BG69" i="7" s="1"/>
  <c r="BJ69" i="7" s="1"/>
  <c r="BM69" i="7" s="1"/>
  <c r="BP69" i="7" s="1"/>
  <c r="BS69" i="7" s="1"/>
  <c r="BV69" i="7" s="1"/>
  <c r="BY69" i="7" s="1"/>
  <c r="CB69" i="7" s="1"/>
  <c r="BA68" i="7"/>
  <c r="BD68" i="7" s="1"/>
  <c r="BG68" i="7" s="1"/>
  <c r="BJ68" i="7" s="1"/>
  <c r="BM68" i="7" s="1"/>
  <c r="BP68" i="7" s="1"/>
  <c r="BS68" i="7" s="1"/>
  <c r="BV68" i="7" s="1"/>
  <c r="BY68" i="7" s="1"/>
  <c r="CB68" i="7" s="1"/>
  <c r="BA67" i="7"/>
  <c r="BD67" i="7" s="1"/>
  <c r="BG67" i="7" s="1"/>
  <c r="BJ67" i="7" s="1"/>
  <c r="BM67" i="7" s="1"/>
  <c r="BP67" i="7" s="1"/>
  <c r="BS67" i="7" s="1"/>
  <c r="BV67" i="7" s="1"/>
  <c r="BY67" i="7" s="1"/>
  <c r="CB67" i="7" s="1"/>
  <c r="BA66" i="7"/>
  <c r="BD66" i="7" s="1"/>
  <c r="BG66" i="7" s="1"/>
  <c r="BJ66" i="7" s="1"/>
  <c r="BM66" i="7" s="1"/>
  <c r="BP66" i="7" s="1"/>
  <c r="BS66" i="7" s="1"/>
  <c r="BV66" i="7" s="1"/>
  <c r="BY66" i="7" s="1"/>
  <c r="CB66" i="7" s="1"/>
  <c r="BA65" i="7"/>
  <c r="BD65" i="7" s="1"/>
  <c r="BG65" i="7" s="1"/>
  <c r="BJ65" i="7" s="1"/>
  <c r="BM65" i="7" s="1"/>
  <c r="BP65" i="7" s="1"/>
  <c r="BS65" i="7" s="1"/>
  <c r="BV65" i="7" s="1"/>
  <c r="BY65" i="7" s="1"/>
  <c r="CB65" i="7" s="1"/>
  <c r="BA64" i="7"/>
  <c r="BD64" i="7" s="1"/>
  <c r="BG64" i="7" s="1"/>
  <c r="BJ64" i="7" s="1"/>
  <c r="BM64" i="7" s="1"/>
  <c r="BP64" i="7" s="1"/>
  <c r="BS64" i="7" s="1"/>
  <c r="BV64" i="7" s="1"/>
  <c r="BY64" i="7" s="1"/>
  <c r="CB64" i="7" s="1"/>
  <c r="BA63" i="7"/>
  <c r="BD63" i="7" s="1"/>
  <c r="BG63" i="7" s="1"/>
  <c r="BJ63" i="7" s="1"/>
  <c r="BM63" i="7" s="1"/>
  <c r="BP63" i="7" s="1"/>
  <c r="BS63" i="7" s="1"/>
  <c r="BV63" i="7" s="1"/>
  <c r="BY63" i="7" s="1"/>
  <c r="CB63" i="7" s="1"/>
  <c r="BA62" i="7"/>
  <c r="BD62" i="7" s="1"/>
  <c r="BG62" i="7" s="1"/>
  <c r="BJ62" i="7" s="1"/>
  <c r="BM62" i="7" s="1"/>
  <c r="BP62" i="7" s="1"/>
  <c r="BS62" i="7" s="1"/>
  <c r="BV62" i="7" s="1"/>
  <c r="BY62" i="7" s="1"/>
  <c r="CB62" i="7" s="1"/>
  <c r="BA61" i="7"/>
  <c r="BD61" i="7" s="1"/>
  <c r="BG61" i="7" s="1"/>
  <c r="BJ61" i="7" s="1"/>
  <c r="BM61" i="7" s="1"/>
  <c r="BP61" i="7" s="1"/>
  <c r="BS61" i="7" s="1"/>
  <c r="BV61" i="7" s="1"/>
  <c r="BY61" i="7" s="1"/>
  <c r="CB61" i="7" s="1"/>
  <c r="BA60" i="7"/>
  <c r="BD60" i="7" s="1"/>
  <c r="BG60" i="7" s="1"/>
  <c r="BJ60" i="7" s="1"/>
  <c r="BM60" i="7" s="1"/>
  <c r="BP60" i="7" s="1"/>
  <c r="BS60" i="7" s="1"/>
  <c r="BV60" i="7" s="1"/>
  <c r="BY60" i="7" s="1"/>
  <c r="CB60" i="7" s="1"/>
  <c r="BA59" i="7"/>
  <c r="BD59" i="7" s="1"/>
  <c r="BG59" i="7" s="1"/>
  <c r="BJ59" i="7" s="1"/>
  <c r="BM59" i="7" s="1"/>
  <c r="BP59" i="7" s="1"/>
  <c r="BS59" i="7" s="1"/>
  <c r="BV59" i="7" s="1"/>
  <c r="BY59" i="7" s="1"/>
  <c r="CB59" i="7" s="1"/>
  <c r="BA58" i="7"/>
  <c r="BD58" i="7" s="1"/>
  <c r="BG58" i="7" s="1"/>
  <c r="BJ58" i="7" s="1"/>
  <c r="BM58" i="7" s="1"/>
  <c r="BP58" i="7" s="1"/>
  <c r="BS58" i="7" s="1"/>
  <c r="BV58" i="7" s="1"/>
  <c r="BY58" i="7" s="1"/>
  <c r="CB58" i="7" s="1"/>
  <c r="BA57" i="7"/>
  <c r="BD57" i="7" s="1"/>
  <c r="BG57" i="7" s="1"/>
  <c r="BJ57" i="7" s="1"/>
  <c r="BM57" i="7" s="1"/>
  <c r="BP57" i="7" s="1"/>
  <c r="BS57" i="7" s="1"/>
  <c r="BV57" i="7" s="1"/>
  <c r="BY57" i="7" s="1"/>
  <c r="CB57" i="7" s="1"/>
  <c r="BA56" i="7"/>
  <c r="BD56" i="7" s="1"/>
  <c r="BG56" i="7" s="1"/>
  <c r="BJ56" i="7" s="1"/>
  <c r="BM56" i="7" s="1"/>
  <c r="BP56" i="7" s="1"/>
  <c r="BS56" i="7" s="1"/>
  <c r="BV56" i="7" s="1"/>
  <c r="BY56" i="7" s="1"/>
  <c r="CB56" i="7" s="1"/>
  <c r="BA55" i="7"/>
  <c r="BD55" i="7" s="1"/>
  <c r="BG55" i="7" s="1"/>
  <c r="BJ55" i="7" s="1"/>
  <c r="BM55" i="7" s="1"/>
  <c r="BP55" i="7" s="1"/>
  <c r="BS55" i="7" s="1"/>
  <c r="BV55" i="7" s="1"/>
  <c r="BY55" i="7" s="1"/>
  <c r="CB55" i="7" s="1"/>
  <c r="BA54" i="7"/>
  <c r="BD54" i="7" s="1"/>
  <c r="BG54" i="7" s="1"/>
  <c r="BJ54" i="7" s="1"/>
  <c r="BM54" i="7" s="1"/>
  <c r="BP54" i="7" s="1"/>
  <c r="BS54" i="7" s="1"/>
  <c r="BV54" i="7" s="1"/>
  <c r="BY54" i="7" s="1"/>
  <c r="CB54" i="7" s="1"/>
  <c r="BA53" i="7"/>
  <c r="BD53" i="7" s="1"/>
  <c r="BG53" i="7" s="1"/>
  <c r="BJ53" i="7" s="1"/>
  <c r="BM53" i="7" s="1"/>
  <c r="BP53" i="7" s="1"/>
  <c r="BS53" i="7" s="1"/>
  <c r="BV53" i="7" s="1"/>
  <c r="BY53" i="7" s="1"/>
  <c r="CB53" i="7" s="1"/>
  <c r="BA52" i="7"/>
  <c r="BD52" i="7" s="1"/>
  <c r="BG52" i="7" s="1"/>
  <c r="BJ52" i="7" s="1"/>
  <c r="BM52" i="7" s="1"/>
  <c r="BP52" i="7" s="1"/>
  <c r="BS52" i="7" s="1"/>
  <c r="BV52" i="7" s="1"/>
  <c r="BY52" i="7" s="1"/>
  <c r="CB52" i="7" s="1"/>
  <c r="BA51" i="7"/>
  <c r="BD51" i="7" s="1"/>
  <c r="BG51" i="7" s="1"/>
  <c r="BJ51" i="7" s="1"/>
  <c r="BM51" i="7" s="1"/>
  <c r="BP51" i="7" s="1"/>
  <c r="BS51" i="7" s="1"/>
  <c r="BV51" i="7" s="1"/>
  <c r="BY51" i="7" s="1"/>
  <c r="CB51" i="7" s="1"/>
  <c r="BA50" i="7"/>
  <c r="BD50" i="7" s="1"/>
  <c r="BG50" i="7" s="1"/>
  <c r="BJ50" i="7" s="1"/>
  <c r="BM50" i="7" s="1"/>
  <c r="BP50" i="7" s="1"/>
  <c r="BS50" i="7" s="1"/>
  <c r="BV50" i="7" s="1"/>
  <c r="BY50" i="7" s="1"/>
  <c r="CB50" i="7" s="1"/>
  <c r="BA49" i="7"/>
  <c r="BD49" i="7" s="1"/>
  <c r="BG49" i="7" s="1"/>
  <c r="BJ49" i="7" s="1"/>
  <c r="BM49" i="7" s="1"/>
  <c r="BP49" i="7" s="1"/>
  <c r="BS49" i="7" s="1"/>
  <c r="BV49" i="7" s="1"/>
  <c r="BY49" i="7" s="1"/>
  <c r="CB49" i="7" s="1"/>
  <c r="BA48" i="7"/>
  <c r="BD48" i="7" s="1"/>
  <c r="BG48" i="7" s="1"/>
  <c r="BJ48" i="7" s="1"/>
  <c r="BM48" i="7" s="1"/>
  <c r="BP48" i="7" s="1"/>
  <c r="BS48" i="7" s="1"/>
  <c r="BV48" i="7" s="1"/>
  <c r="BY48" i="7" s="1"/>
  <c r="CB48" i="7" s="1"/>
  <c r="BA47" i="7"/>
  <c r="BD47" i="7" s="1"/>
  <c r="BG47" i="7" s="1"/>
  <c r="BJ47" i="7" s="1"/>
  <c r="BM47" i="7" s="1"/>
  <c r="BP47" i="7" s="1"/>
  <c r="BS47" i="7" s="1"/>
  <c r="BV47" i="7" s="1"/>
  <c r="BY47" i="7" s="1"/>
  <c r="CB47" i="7" s="1"/>
  <c r="BA46" i="7"/>
  <c r="BD46" i="7" s="1"/>
  <c r="BG46" i="7" s="1"/>
  <c r="BJ46" i="7" s="1"/>
  <c r="BM46" i="7" s="1"/>
  <c r="BP46" i="7" s="1"/>
  <c r="BS46" i="7" s="1"/>
  <c r="BV46" i="7" s="1"/>
  <c r="BY46" i="7" s="1"/>
  <c r="CB46" i="7" s="1"/>
  <c r="BA45" i="7"/>
  <c r="BD45" i="7" s="1"/>
  <c r="BG45" i="7" s="1"/>
  <c r="BJ45" i="7" s="1"/>
  <c r="BM45" i="7" s="1"/>
  <c r="BP45" i="7" s="1"/>
  <c r="BS45" i="7" s="1"/>
  <c r="BV45" i="7" s="1"/>
  <c r="BY45" i="7" s="1"/>
  <c r="CB45" i="7" s="1"/>
  <c r="BA44" i="7"/>
  <c r="BD44" i="7" s="1"/>
  <c r="BG44" i="7" s="1"/>
  <c r="BJ44" i="7" s="1"/>
  <c r="BM44" i="7" s="1"/>
  <c r="BP44" i="7" s="1"/>
  <c r="BS44" i="7" s="1"/>
  <c r="BV44" i="7" s="1"/>
  <c r="BY44" i="7" s="1"/>
  <c r="CB44" i="7" s="1"/>
  <c r="BA43" i="7"/>
  <c r="BD43" i="7" s="1"/>
  <c r="BG43" i="7" s="1"/>
  <c r="BJ43" i="7" s="1"/>
  <c r="BM43" i="7" s="1"/>
  <c r="BP43" i="7" s="1"/>
  <c r="BS43" i="7" s="1"/>
  <c r="BV43" i="7" s="1"/>
  <c r="BY43" i="7" s="1"/>
  <c r="CB43" i="7" s="1"/>
  <c r="BA42" i="7"/>
  <c r="BD42" i="7" s="1"/>
  <c r="BG42" i="7" s="1"/>
  <c r="BJ42" i="7" s="1"/>
  <c r="BM42" i="7" s="1"/>
  <c r="BP42" i="7" s="1"/>
  <c r="BS42" i="7" s="1"/>
  <c r="BV42" i="7" s="1"/>
  <c r="BY42" i="7" s="1"/>
  <c r="CB42" i="7" s="1"/>
  <c r="BA41" i="7"/>
  <c r="BD41" i="7" s="1"/>
  <c r="BG41" i="7" s="1"/>
  <c r="BJ41" i="7" s="1"/>
  <c r="BM41" i="7" s="1"/>
  <c r="BP41" i="7" s="1"/>
  <c r="BS41" i="7" s="1"/>
  <c r="BV41" i="7" s="1"/>
  <c r="BY41" i="7" s="1"/>
  <c r="CB41" i="7" s="1"/>
  <c r="BA40" i="7"/>
  <c r="BD40" i="7" s="1"/>
  <c r="BG40" i="7" s="1"/>
  <c r="BJ40" i="7" s="1"/>
  <c r="BM40" i="7" s="1"/>
  <c r="BP40" i="7" s="1"/>
  <c r="BS40" i="7" s="1"/>
  <c r="BV40" i="7" s="1"/>
  <c r="BY40" i="7" s="1"/>
  <c r="CB40" i="7" s="1"/>
  <c r="BA39" i="7"/>
  <c r="BD39" i="7" s="1"/>
  <c r="BG39" i="7" s="1"/>
  <c r="BJ39" i="7" s="1"/>
  <c r="BM39" i="7" s="1"/>
  <c r="BP39" i="7" s="1"/>
  <c r="BS39" i="7" s="1"/>
  <c r="BV39" i="7" s="1"/>
  <c r="BY39" i="7" s="1"/>
  <c r="CB39" i="7" s="1"/>
  <c r="BA38" i="7"/>
  <c r="BD38" i="7" s="1"/>
  <c r="BG38" i="7" s="1"/>
  <c r="BJ38" i="7" s="1"/>
  <c r="BM38" i="7" s="1"/>
  <c r="BP38" i="7" s="1"/>
  <c r="BS38" i="7" s="1"/>
  <c r="BV38" i="7" s="1"/>
  <c r="BY38" i="7" s="1"/>
  <c r="CB38" i="7" s="1"/>
  <c r="BA37" i="7"/>
  <c r="BD37" i="7" s="1"/>
  <c r="BG37" i="7" s="1"/>
  <c r="BJ37" i="7" s="1"/>
  <c r="BM37" i="7" s="1"/>
  <c r="BP37" i="7" s="1"/>
  <c r="BS37" i="7" s="1"/>
  <c r="BV37" i="7" s="1"/>
  <c r="BY37" i="7" s="1"/>
  <c r="CB37" i="7" s="1"/>
  <c r="BA36" i="7"/>
  <c r="BD36" i="7" s="1"/>
  <c r="BG36" i="7" s="1"/>
  <c r="BJ36" i="7" s="1"/>
  <c r="BM36" i="7" s="1"/>
  <c r="BP36" i="7" s="1"/>
  <c r="BS36" i="7" s="1"/>
  <c r="BV36" i="7" s="1"/>
  <c r="BY36" i="7" s="1"/>
  <c r="CB36" i="7" s="1"/>
  <c r="BA35" i="7"/>
  <c r="BD35" i="7" s="1"/>
  <c r="BG35" i="7" s="1"/>
  <c r="BJ35" i="7" s="1"/>
  <c r="BM35" i="7" s="1"/>
  <c r="BP35" i="7" s="1"/>
  <c r="BS35" i="7" s="1"/>
  <c r="BV35" i="7" s="1"/>
  <c r="BY35" i="7" s="1"/>
  <c r="CB35" i="7" s="1"/>
  <c r="BA34" i="7"/>
  <c r="BD34" i="7" s="1"/>
  <c r="BG34" i="7" s="1"/>
  <c r="BJ34" i="7" s="1"/>
  <c r="BM34" i="7" s="1"/>
  <c r="BP34" i="7" s="1"/>
  <c r="BS34" i="7" s="1"/>
  <c r="BV34" i="7" s="1"/>
  <c r="BY34" i="7" s="1"/>
  <c r="CB34" i="7" s="1"/>
  <c r="BA33" i="7"/>
  <c r="BD33" i="7" s="1"/>
  <c r="BG33" i="7" s="1"/>
  <c r="BJ33" i="7" s="1"/>
  <c r="BM33" i="7" s="1"/>
  <c r="BP33" i="7" s="1"/>
  <c r="BS33" i="7" s="1"/>
  <c r="BV33" i="7" s="1"/>
  <c r="BY33" i="7" s="1"/>
  <c r="CB33" i="7" s="1"/>
  <c r="BA32" i="7"/>
  <c r="BD32" i="7" s="1"/>
  <c r="BG32" i="7" s="1"/>
  <c r="BJ32" i="7" s="1"/>
  <c r="BM32" i="7" s="1"/>
  <c r="BP32" i="7" s="1"/>
  <c r="BS32" i="7" s="1"/>
  <c r="BV32" i="7" s="1"/>
  <c r="BY32" i="7" s="1"/>
  <c r="CB32" i="7" s="1"/>
  <c r="BA31" i="7"/>
  <c r="BD31" i="7" s="1"/>
  <c r="BG31" i="7" s="1"/>
  <c r="BJ31" i="7" s="1"/>
  <c r="BM31" i="7" s="1"/>
  <c r="BP31" i="7" s="1"/>
  <c r="BS31" i="7" s="1"/>
  <c r="BV31" i="7" s="1"/>
  <c r="BY31" i="7" s="1"/>
  <c r="CB31" i="7" s="1"/>
  <c r="BA30" i="7"/>
  <c r="BD30" i="7" s="1"/>
  <c r="BG30" i="7" s="1"/>
  <c r="BJ30" i="7" s="1"/>
  <c r="BM30" i="7" s="1"/>
  <c r="BP30" i="7" s="1"/>
  <c r="BS30" i="7" s="1"/>
  <c r="BV30" i="7" s="1"/>
  <c r="BY30" i="7" s="1"/>
  <c r="CB30" i="7" s="1"/>
  <c r="BA29" i="7"/>
  <c r="BD29" i="7" s="1"/>
  <c r="BG29" i="7" s="1"/>
  <c r="BJ29" i="7" s="1"/>
  <c r="BM29" i="7" s="1"/>
  <c r="BP29" i="7" s="1"/>
  <c r="BS29" i="7" s="1"/>
  <c r="BV29" i="7" s="1"/>
  <c r="BY29" i="7" s="1"/>
  <c r="CB29" i="7" s="1"/>
  <c r="BA28" i="7"/>
  <c r="BD28" i="7" s="1"/>
  <c r="BG28" i="7" s="1"/>
  <c r="BJ28" i="7" s="1"/>
  <c r="BM28" i="7" s="1"/>
  <c r="BP28" i="7" s="1"/>
  <c r="BS28" i="7" s="1"/>
  <c r="BV28" i="7" s="1"/>
  <c r="BY28" i="7" s="1"/>
  <c r="CB28" i="7" s="1"/>
  <c r="BA27" i="7"/>
  <c r="BD27" i="7" s="1"/>
  <c r="BG27" i="7" s="1"/>
  <c r="BJ27" i="7" s="1"/>
  <c r="BM27" i="7" s="1"/>
  <c r="BP27" i="7" s="1"/>
  <c r="BS27" i="7" s="1"/>
  <c r="BV27" i="7" s="1"/>
  <c r="BY27" i="7" s="1"/>
  <c r="CB27" i="7" s="1"/>
  <c r="BA26" i="7"/>
  <c r="BD26" i="7" s="1"/>
  <c r="BG26" i="7" s="1"/>
  <c r="BJ26" i="7" s="1"/>
  <c r="BM26" i="7" s="1"/>
  <c r="BP26" i="7" s="1"/>
  <c r="BS26" i="7" s="1"/>
  <c r="BV26" i="7" s="1"/>
  <c r="BY26" i="7" s="1"/>
  <c r="CB26" i="7" s="1"/>
  <c r="BA25" i="7"/>
  <c r="BD25" i="7" s="1"/>
  <c r="BG25" i="7" s="1"/>
  <c r="BJ25" i="7" s="1"/>
  <c r="BM25" i="7" s="1"/>
  <c r="BP25" i="7" s="1"/>
  <c r="BS25" i="7" s="1"/>
  <c r="BV25" i="7" s="1"/>
  <c r="BY25" i="7" s="1"/>
  <c r="CB25" i="7" s="1"/>
  <c r="BA24" i="7"/>
  <c r="BD24" i="7" s="1"/>
  <c r="BG24" i="7" s="1"/>
  <c r="BJ24" i="7" s="1"/>
  <c r="BM24" i="7" s="1"/>
  <c r="BP24" i="7" s="1"/>
  <c r="BS24" i="7" s="1"/>
  <c r="BV24" i="7" s="1"/>
  <c r="BY24" i="7" s="1"/>
  <c r="CB24" i="7" s="1"/>
  <c r="BA23" i="7"/>
  <c r="BD23" i="7" s="1"/>
  <c r="BG23" i="7" s="1"/>
  <c r="BJ23" i="7" s="1"/>
  <c r="BM23" i="7" s="1"/>
  <c r="BP23" i="7" s="1"/>
  <c r="BS23" i="7" s="1"/>
  <c r="BV23" i="7" s="1"/>
  <c r="BY23" i="7" s="1"/>
  <c r="CB23" i="7" s="1"/>
  <c r="BA22" i="7"/>
  <c r="BD22" i="7" s="1"/>
  <c r="BG22" i="7" s="1"/>
  <c r="BJ22" i="7" s="1"/>
  <c r="BM22" i="7" s="1"/>
  <c r="BP22" i="7" s="1"/>
  <c r="BS22" i="7" s="1"/>
  <c r="BV22" i="7" s="1"/>
  <c r="BY22" i="7" s="1"/>
  <c r="CB22" i="7" s="1"/>
  <c r="BA21" i="7"/>
  <c r="BD21" i="7" s="1"/>
  <c r="BG21" i="7" s="1"/>
  <c r="BJ21" i="7" s="1"/>
  <c r="BM21" i="7" s="1"/>
  <c r="BP21" i="7" s="1"/>
  <c r="BS21" i="7" s="1"/>
  <c r="BV21" i="7" s="1"/>
  <c r="BY21" i="7" s="1"/>
  <c r="CB21" i="7" s="1"/>
  <c r="BA20" i="7"/>
  <c r="BD20" i="7" s="1"/>
  <c r="BG20" i="7" s="1"/>
  <c r="BJ20" i="7" s="1"/>
  <c r="BM20" i="7" s="1"/>
  <c r="BP20" i="7" s="1"/>
  <c r="BS20" i="7" s="1"/>
  <c r="BV20" i="7" s="1"/>
  <c r="BY20" i="7" s="1"/>
  <c r="CB20" i="7" s="1"/>
  <c r="BA19" i="7"/>
  <c r="BD19" i="7" s="1"/>
  <c r="BG19" i="7" s="1"/>
  <c r="BJ19" i="7" s="1"/>
  <c r="BM19" i="7" s="1"/>
  <c r="BP19" i="7" s="1"/>
  <c r="BS19" i="7" s="1"/>
  <c r="BV19" i="7" s="1"/>
  <c r="BY19" i="7" s="1"/>
  <c r="CB19" i="7" s="1"/>
  <c r="BA18" i="7"/>
  <c r="BD18" i="7" s="1"/>
  <c r="BG18" i="7" s="1"/>
  <c r="BJ18" i="7" s="1"/>
  <c r="BM18" i="7" s="1"/>
  <c r="BP18" i="7" s="1"/>
  <c r="BS18" i="7" s="1"/>
  <c r="BV18" i="7" s="1"/>
  <c r="BY18" i="7" s="1"/>
  <c r="CB18" i="7" s="1"/>
  <c r="BA17" i="7"/>
  <c r="BD17" i="7" s="1"/>
  <c r="BG17" i="7" s="1"/>
  <c r="BJ17" i="7" s="1"/>
  <c r="BM17" i="7" s="1"/>
  <c r="BP17" i="7" s="1"/>
  <c r="BS17" i="7" s="1"/>
  <c r="BV17" i="7" s="1"/>
  <c r="BY17" i="7" s="1"/>
  <c r="CB17" i="7" s="1"/>
  <c r="BA16" i="7"/>
  <c r="BD16" i="7" s="1"/>
  <c r="BG16" i="7" s="1"/>
  <c r="BJ16" i="7" s="1"/>
  <c r="BM16" i="7" s="1"/>
  <c r="BP16" i="7" s="1"/>
  <c r="BS16" i="7" s="1"/>
  <c r="BV16" i="7" s="1"/>
  <c r="BY16" i="7" s="1"/>
  <c r="CB16" i="7" s="1"/>
  <c r="BA15" i="7"/>
  <c r="BD15" i="7" s="1"/>
  <c r="BG15" i="7" s="1"/>
  <c r="BJ15" i="7" s="1"/>
  <c r="BM15" i="7" s="1"/>
  <c r="BP15" i="7" s="1"/>
  <c r="BS15" i="7" s="1"/>
  <c r="BV15" i="7" s="1"/>
  <c r="BY15" i="7" s="1"/>
  <c r="CB15" i="7" s="1"/>
  <c r="BA14" i="7"/>
  <c r="BD14" i="7" s="1"/>
  <c r="BG14" i="7" s="1"/>
  <c r="BJ14" i="7" s="1"/>
  <c r="BM14" i="7" s="1"/>
  <c r="BP14" i="7" s="1"/>
  <c r="BS14" i="7" s="1"/>
  <c r="BV14" i="7" s="1"/>
  <c r="BY14" i="7" s="1"/>
  <c r="CB14" i="7" s="1"/>
  <c r="BA13" i="7"/>
  <c r="BD13" i="7" s="1"/>
  <c r="BG13" i="7" s="1"/>
  <c r="BJ13" i="7" s="1"/>
  <c r="BM13" i="7" s="1"/>
  <c r="BP13" i="7" s="1"/>
  <c r="BS13" i="7" s="1"/>
  <c r="BV13" i="7" s="1"/>
  <c r="BY13" i="7" s="1"/>
  <c r="CB13" i="7" s="1"/>
  <c r="BA12" i="7"/>
  <c r="BD12" i="7" s="1"/>
  <c r="BG12" i="7" s="1"/>
  <c r="BJ12" i="7" s="1"/>
  <c r="BM12" i="7" s="1"/>
  <c r="BP12" i="7" s="1"/>
  <c r="BS12" i="7" s="1"/>
  <c r="BV12" i="7" s="1"/>
  <c r="BY12" i="7" s="1"/>
  <c r="CB12" i="7" s="1"/>
  <c r="BA11" i="7"/>
  <c r="BD11" i="7" s="1"/>
  <c r="BG11" i="7" s="1"/>
  <c r="BJ11" i="7" s="1"/>
  <c r="BM11" i="7" s="1"/>
  <c r="BP11" i="7" s="1"/>
  <c r="BS11" i="7" s="1"/>
  <c r="BV11" i="7" s="1"/>
  <c r="BY11" i="7" s="1"/>
  <c r="CB11" i="7" s="1"/>
  <c r="BA10" i="7"/>
  <c r="BD10" i="7" s="1"/>
  <c r="BG10" i="7" s="1"/>
  <c r="BJ10" i="7" s="1"/>
  <c r="BM10" i="7" s="1"/>
  <c r="BP10" i="7" s="1"/>
  <c r="BS10" i="7" s="1"/>
  <c r="BV10" i="7" s="1"/>
  <c r="BY10" i="7" s="1"/>
  <c r="CB10" i="7" s="1"/>
  <c r="BA9" i="7"/>
  <c r="BD9" i="7" s="1"/>
  <c r="BG9" i="7" s="1"/>
  <c r="BJ9" i="7" s="1"/>
  <c r="BM9" i="7" s="1"/>
  <c r="BP9" i="7" s="1"/>
  <c r="BS9" i="7" s="1"/>
  <c r="BV9" i="7" s="1"/>
  <c r="BY9" i="7" s="1"/>
  <c r="CB9" i="7" s="1"/>
  <c r="BA8" i="7"/>
  <c r="BD8" i="7" s="1"/>
  <c r="BG8" i="7" s="1"/>
  <c r="BJ8" i="7" s="1"/>
  <c r="BM8" i="7" s="1"/>
  <c r="BP8" i="7" s="1"/>
  <c r="BS8" i="7" s="1"/>
  <c r="BV8" i="7" s="1"/>
  <c r="BY8" i="7" s="1"/>
  <c r="CB8" i="7" s="1"/>
  <c r="BA6" i="7"/>
  <c r="BD6" i="7" s="1"/>
  <c r="BG6" i="7" s="1"/>
  <c r="BJ6" i="7" s="1"/>
  <c r="BM6" i="7" s="1"/>
  <c r="BP6" i="7" s="1"/>
  <c r="BS6" i="7" s="1"/>
  <c r="BV6" i="7" s="1"/>
  <c r="BY6" i="7" s="1"/>
  <c r="CB6" i="7" s="1"/>
  <c r="BA5" i="7"/>
  <c r="BD5" i="7" s="1"/>
  <c r="BG5" i="7" s="1"/>
  <c r="BJ5" i="7" s="1"/>
  <c r="BM5" i="7" s="1"/>
  <c r="BP5" i="7" s="1"/>
  <c r="BS5" i="7" s="1"/>
  <c r="BV5" i="7" s="1"/>
  <c r="BY5" i="7" s="1"/>
  <c r="CB5" i="7" s="1"/>
  <c r="BA4" i="7"/>
  <c r="BD4" i="7" s="1"/>
  <c r="BG4" i="7" s="1"/>
  <c r="BJ4" i="7" s="1"/>
  <c r="BM4" i="7" s="1"/>
  <c r="BP4" i="7" s="1"/>
  <c r="BS4" i="7" s="1"/>
  <c r="BV4" i="7" s="1"/>
  <c r="BY4" i="7" s="1"/>
  <c r="CB4" i="7" s="1"/>
  <c r="CE48" i="7" l="1"/>
  <c r="BH94" i="7"/>
  <c r="BH148" i="7"/>
  <c r="BB123" i="7"/>
  <c r="CE178" i="7"/>
  <c r="BE103" i="7"/>
  <c r="BE88" i="7"/>
  <c r="BB111" i="7"/>
  <c r="BB129" i="7"/>
  <c r="BE87" i="7"/>
  <c r="BB150" i="7"/>
  <c r="BB96" i="7"/>
  <c r="BB164" i="7"/>
  <c r="BE5" i="7"/>
  <c r="BH5" i="7" s="1"/>
  <c r="BE143" i="7"/>
  <c r="CE196" i="7"/>
  <c r="CE151" i="7"/>
  <c r="BH89" i="7"/>
  <c r="BH145" i="7"/>
  <c r="BH152" i="7"/>
  <c r="BB118" i="7"/>
  <c r="CE126" i="7"/>
  <c r="BB9" i="7"/>
  <c r="BE9" i="7" s="1"/>
  <c r="BH9" i="7" s="1"/>
  <c r="BK9" i="7" s="1"/>
  <c r="BN9" i="7" s="1"/>
  <c r="BQ9" i="7" s="1"/>
  <c r="BT9" i="7" s="1"/>
  <c r="BW9" i="7" s="1"/>
  <c r="BZ9" i="7" s="1"/>
  <c r="CC9" i="7" s="1"/>
  <c r="BB4" i="7"/>
  <c r="BE4" i="7" s="1"/>
  <c r="BH4" i="7" s="1"/>
  <c r="BK4" i="7" s="1"/>
  <c r="BN4" i="7" s="1"/>
  <c r="BQ4" i="7" s="1"/>
  <c r="BE142" i="7"/>
  <c r="BW31" i="7"/>
  <c r="BZ31" i="7" s="1"/>
  <c r="CC31" i="7" s="1"/>
  <c r="BE130" i="7"/>
  <c r="BZ53" i="7"/>
  <c r="CC53" i="7" s="1"/>
  <c r="CE134" i="7"/>
  <c r="BE160" i="7"/>
  <c r="BB53" i="7"/>
  <c r="BE53" i="7" s="1"/>
  <c r="CE73" i="7"/>
  <c r="CE142" i="7"/>
  <c r="CE109" i="7"/>
  <c r="CE112" i="7"/>
  <c r="BH155" i="7"/>
  <c r="BH125" i="7"/>
  <c r="BH119" i="7"/>
  <c r="BH121" i="7"/>
  <c r="BH109" i="7"/>
  <c r="BB120" i="7"/>
  <c r="BN77" i="7"/>
  <c r="BB104" i="7"/>
  <c r="BB78" i="7"/>
  <c r="BE78" i="7" s="1"/>
  <c r="BH78" i="7" s="1"/>
  <c r="BK78" i="7" s="1"/>
  <c r="BN78" i="7" s="1"/>
  <c r="BE155" i="7"/>
  <c r="CE180" i="7"/>
  <c r="BB143" i="7"/>
  <c r="BT4" i="7"/>
  <c r="BW4" i="7" s="1"/>
  <c r="BZ4" i="7" s="1"/>
  <c r="CE27" i="7"/>
  <c r="BB116" i="7"/>
  <c r="BB126" i="7"/>
  <c r="BH31" i="7"/>
  <c r="BN51" i="7"/>
  <c r="BQ51" i="7" s="1"/>
  <c r="BT51" i="7" s="1"/>
  <c r="BW51" i="7" s="1"/>
  <c r="BZ51" i="7" s="1"/>
  <c r="CC51" i="7" s="1"/>
  <c r="BW77" i="7"/>
  <c r="BZ77" i="7" s="1"/>
  <c r="CC77" i="7" s="1"/>
  <c r="BH71" i="7"/>
  <c r="BB128" i="7"/>
  <c r="BQ81" i="7"/>
  <c r="BB89" i="7"/>
  <c r="BE112" i="7"/>
  <c r="BE157" i="7"/>
  <c r="CE85" i="7"/>
  <c r="CE12" i="7"/>
  <c r="BE148" i="7"/>
  <c r="BE145" i="7"/>
  <c r="BE84" i="7"/>
  <c r="BN16" i="7"/>
  <c r="BN39" i="7"/>
  <c r="BQ39" i="7" s="1"/>
  <c r="BT39" i="7" s="1"/>
  <c r="BB19" i="7"/>
  <c r="BE19" i="7" s="1"/>
  <c r="BB161" i="7"/>
  <c r="CE130" i="7"/>
  <c r="BQ22" i="7"/>
  <c r="BT22" i="7" s="1"/>
  <c r="BW22" i="7" s="1"/>
  <c r="BZ22" i="7" s="1"/>
  <c r="CC22" i="7" s="1"/>
  <c r="BH29" i="7"/>
  <c r="BK29" i="7" s="1"/>
  <c r="BN29" i="7" s="1"/>
  <c r="BQ29" i="7" s="1"/>
  <c r="BT29" i="7" s="1"/>
  <c r="BW29" i="7" s="1"/>
  <c r="BB166" i="7"/>
  <c r="BB183" i="7"/>
  <c r="BB184" i="7"/>
  <c r="CE32" i="7"/>
  <c r="BE132" i="7"/>
  <c r="CE148" i="7"/>
  <c r="BH95" i="7"/>
  <c r="CE121" i="7"/>
  <c r="CE154" i="7"/>
  <c r="CE107" i="7"/>
  <c r="BH91" i="7"/>
  <c r="BH142" i="7"/>
  <c r="BH123" i="7"/>
  <c r="CE190" i="7"/>
  <c r="BB130" i="7"/>
  <c r="BB139" i="7"/>
  <c r="BB103" i="7"/>
  <c r="BT19" i="7"/>
  <c r="BW71" i="7"/>
  <c r="BZ71" i="7" s="1"/>
  <c r="CE188" i="7"/>
  <c r="BE162" i="7"/>
  <c r="CE21" i="7"/>
  <c r="BE69" i="7"/>
  <c r="BH69" i="7" s="1"/>
  <c r="BK69" i="7" s="1"/>
  <c r="BN69" i="7" s="1"/>
  <c r="BQ69" i="7" s="1"/>
  <c r="BT69" i="7" s="1"/>
  <c r="BW69" i="7" s="1"/>
  <c r="BZ69" i="7" s="1"/>
  <c r="CC69" i="7" s="1"/>
  <c r="BE91" i="7"/>
  <c r="CE18" i="7"/>
  <c r="BB77" i="7"/>
  <c r="BB42" i="7"/>
  <c r="BE42" i="7" s="1"/>
  <c r="BQ66" i="7"/>
  <c r="BT66" i="7" s="1"/>
  <c r="BW66" i="7" s="1"/>
  <c r="BZ66" i="7" s="1"/>
  <c r="CC66" i="7" s="1"/>
  <c r="BE59" i="7"/>
  <c r="BH59" i="7" s="1"/>
  <c r="BK59" i="7" s="1"/>
  <c r="BN59" i="7" s="1"/>
  <c r="BQ59" i="7" s="1"/>
  <c r="BT59" i="7" s="1"/>
  <c r="BW59" i="7" s="1"/>
  <c r="BZ59" i="7" s="1"/>
  <c r="CC59" i="7" s="1"/>
  <c r="BB85" i="7"/>
  <c r="BE7" i="7" s="1"/>
  <c r="BB20" i="7"/>
  <c r="BB185" i="7"/>
  <c r="BZ76" i="7"/>
  <c r="CC76" i="7" s="1"/>
  <c r="BQ34" i="7"/>
  <c r="BT34" i="7" s="1"/>
  <c r="BW34" i="7" s="1"/>
  <c r="BZ34" i="7" s="1"/>
  <c r="CC34" i="7" s="1"/>
  <c r="CE111" i="7"/>
  <c r="BH149" i="7"/>
  <c r="BH139" i="7"/>
  <c r="BH130" i="7"/>
  <c r="BH150" i="7"/>
  <c r="BE122" i="7"/>
  <c r="BB13" i="7"/>
  <c r="BE13" i="7" s="1"/>
  <c r="BQ78" i="7"/>
  <c r="BT78" i="7" s="1"/>
  <c r="BW78" i="7" s="1"/>
  <c r="BZ78" i="7" s="1"/>
  <c r="CC78" i="7" s="1"/>
  <c r="BB50" i="7"/>
  <c r="BE50" i="7" s="1"/>
  <c r="BH50" i="7" s="1"/>
  <c r="BK50" i="7" s="1"/>
  <c r="BN50" i="7" s="1"/>
  <c r="BE133" i="7"/>
  <c r="BZ47" i="7"/>
  <c r="CC47" i="7" s="1"/>
  <c r="BT10" i="7"/>
  <c r="BW10" i="7" s="1"/>
  <c r="BB151" i="7"/>
  <c r="BB113" i="7"/>
  <c r="BB152" i="7"/>
  <c r="BB105" i="7"/>
  <c r="BE93" i="7"/>
  <c r="BB52" i="7"/>
  <c r="BE52" i="7" s="1"/>
  <c r="BH52" i="7" s="1"/>
  <c r="BK52" i="7" s="1"/>
  <c r="BN52" i="7" s="1"/>
  <c r="BQ52" i="7" s="1"/>
  <c r="BT52" i="7" s="1"/>
  <c r="BW52" i="7" s="1"/>
  <c r="BZ52" i="7" s="1"/>
  <c r="CC52" i="7" s="1"/>
  <c r="BB100" i="7"/>
  <c r="CE132" i="7"/>
  <c r="BB18" i="7"/>
  <c r="BE18" i="7" s="1"/>
  <c r="BH18" i="7" s="1"/>
  <c r="BK18" i="7" s="1"/>
  <c r="BN18" i="7" s="1"/>
  <c r="BQ18" i="7" s="1"/>
  <c r="BT18" i="7" s="1"/>
  <c r="BW18" i="7" s="1"/>
  <c r="BZ18" i="7" s="1"/>
  <c r="CC18" i="7" s="1"/>
  <c r="BB159" i="7"/>
  <c r="BK10" i="7"/>
  <c r="BN10" i="7" s="1"/>
  <c r="BQ10" i="7" s="1"/>
  <c r="BB191" i="7"/>
  <c r="BB197" i="7"/>
  <c r="BE147" i="7"/>
  <c r="BH19" i="7"/>
  <c r="BK19" i="7" s="1"/>
  <c r="BN19" i="7" s="1"/>
  <c r="BQ19" i="7" s="1"/>
  <c r="BE135" i="7"/>
  <c r="CE138" i="7"/>
  <c r="CE11" i="7"/>
  <c r="BH96" i="7"/>
  <c r="BH87" i="7"/>
  <c r="BH86" i="7"/>
  <c r="BH104" i="7"/>
  <c r="BH90" i="7"/>
  <c r="BH161" i="7"/>
  <c r="BH146" i="7"/>
  <c r="BH107" i="7"/>
  <c r="BH92" i="7"/>
  <c r="BH88" i="7"/>
  <c r="BH147" i="7"/>
  <c r="BH111" i="7"/>
  <c r="BH141" i="7"/>
  <c r="BH97" i="7"/>
  <c r="BH100" i="7"/>
  <c r="BB140" i="7"/>
  <c r="BH13" i="7"/>
  <c r="BK13" i="7" s="1"/>
  <c r="BN13" i="7" s="1"/>
  <c r="BQ13" i="7" s="1"/>
  <c r="BT13" i="7" s="1"/>
  <c r="BW13" i="7" s="1"/>
  <c r="BB124" i="7"/>
  <c r="BH42" i="7"/>
  <c r="BK42" i="7" s="1"/>
  <c r="BN42" i="7" s="1"/>
  <c r="BQ42" i="7" s="1"/>
  <c r="BT42" i="7" s="1"/>
  <c r="BW42" i="7" s="1"/>
  <c r="BZ42" i="7" s="1"/>
  <c r="CC42" i="7" s="1"/>
  <c r="BB26" i="7"/>
  <c r="BE26" i="7" s="1"/>
  <c r="BH26" i="7" s="1"/>
  <c r="BH53" i="7"/>
  <c r="BK53" i="7" s="1"/>
  <c r="BN53" i="7" s="1"/>
  <c r="BQ53" i="7" s="1"/>
  <c r="BT53" i="7" s="1"/>
  <c r="BW53" i="7" s="1"/>
  <c r="BH46" i="7"/>
  <c r="BK46" i="7" s="1"/>
  <c r="BN46" i="7" s="1"/>
  <c r="BQ46" i="7" s="1"/>
  <c r="BT46" i="7" s="1"/>
  <c r="BW46" i="7" s="1"/>
  <c r="BZ46" i="7" s="1"/>
  <c r="CC46" i="7" s="1"/>
  <c r="BE144" i="7"/>
  <c r="BE131" i="7"/>
  <c r="BW35" i="7"/>
  <c r="BZ35" i="7" s="1"/>
  <c r="CC35" i="7" s="1"/>
  <c r="BQ50" i="7"/>
  <c r="BT50" i="7" s="1"/>
  <c r="BW50" i="7" s="1"/>
  <c r="BZ50" i="7" s="1"/>
  <c r="CC50" i="7" s="1"/>
  <c r="BB30" i="7"/>
  <c r="BE111" i="7"/>
  <c r="BE95" i="7"/>
  <c r="CE101" i="7"/>
  <c r="BB131" i="7"/>
  <c r="BB94" i="7"/>
  <c r="CC16" i="7"/>
  <c r="BB66" i="7"/>
  <c r="BE66" i="7" s="1"/>
  <c r="BB93" i="7"/>
  <c r="BE102" i="7"/>
  <c r="BE151" i="7"/>
  <c r="BE140" i="7"/>
  <c r="BH41" i="7"/>
  <c r="BK41" i="7" s="1"/>
  <c r="BN41" i="7" s="1"/>
  <c r="BQ41" i="7" s="1"/>
  <c r="BT41" i="7" s="1"/>
  <c r="BW41" i="7" s="1"/>
  <c r="BZ41" i="7" s="1"/>
  <c r="CC41" i="7" s="1"/>
  <c r="BH48" i="7"/>
  <c r="BK48" i="7" s="1"/>
  <c r="BN48" i="7" s="1"/>
  <c r="BQ48" i="7" s="1"/>
  <c r="BT48" i="7" s="1"/>
  <c r="BW48" i="7" s="1"/>
  <c r="BZ48" i="7" s="1"/>
  <c r="CC48" i="7" s="1"/>
  <c r="BB70" i="7"/>
  <c r="BE70" i="7" s="1"/>
  <c r="BH70" i="7" s="1"/>
  <c r="BK70" i="7" s="1"/>
  <c r="BN70" i="7" s="1"/>
  <c r="BQ70" i="7" s="1"/>
  <c r="BT70" i="7" s="1"/>
  <c r="BW70" i="7" s="1"/>
  <c r="BZ70" i="7" s="1"/>
  <c r="CC70" i="7" s="1"/>
  <c r="BB114" i="7"/>
  <c r="BB48" i="7"/>
  <c r="BN38" i="7"/>
  <c r="BQ38" i="7" s="1"/>
  <c r="BT38" i="7" s="1"/>
  <c r="BW38" i="7" s="1"/>
  <c r="BZ38" i="7" s="1"/>
  <c r="CC38" i="7" s="1"/>
  <c r="BB69" i="7"/>
  <c r="BE108" i="7"/>
  <c r="BE136" i="7"/>
  <c r="BB142" i="7"/>
  <c r="BB59" i="7"/>
  <c r="CE161" i="7"/>
  <c r="BW39" i="7"/>
  <c r="BB110" i="7"/>
  <c r="BE89" i="7"/>
  <c r="BE101" i="7"/>
  <c r="BB97" i="7"/>
  <c r="BB25" i="7"/>
  <c r="BE25" i="7" s="1"/>
  <c r="BH25" i="7" s="1"/>
  <c r="BK25" i="7" s="1"/>
  <c r="BN25" i="7" s="1"/>
  <c r="BQ25" i="7" s="1"/>
  <c r="BT25" i="7" s="1"/>
  <c r="BW25" i="7" s="1"/>
  <c r="BZ25" i="7" s="1"/>
  <c r="CC25" i="7" s="1"/>
  <c r="BN35" i="7"/>
  <c r="BQ35" i="7" s="1"/>
  <c r="BK31" i="7"/>
  <c r="BB155" i="7"/>
  <c r="BB10" i="7"/>
  <c r="BB68" i="7"/>
  <c r="BE68" i="7" s="1"/>
  <c r="BH68" i="7" s="1"/>
  <c r="BK68" i="7" s="1"/>
  <c r="BN68" i="7" s="1"/>
  <c r="BQ68" i="7" s="1"/>
  <c r="BT68" i="7" s="1"/>
  <c r="BW68" i="7" s="1"/>
  <c r="BZ68" i="7" s="1"/>
  <c r="CC68" i="7" s="1"/>
  <c r="BB33" i="7"/>
  <c r="BE33" i="7" s="1"/>
  <c r="BH33" i="7" s="1"/>
  <c r="BK33" i="7" s="1"/>
  <c r="BN33" i="7" s="1"/>
  <c r="BQ33" i="7" s="1"/>
  <c r="BT33" i="7" s="1"/>
  <c r="BW33" i="7" s="1"/>
  <c r="BZ33" i="7" s="1"/>
  <c r="CC33" i="7" s="1"/>
  <c r="BH16" i="7"/>
  <c r="BK16" i="7" s="1"/>
  <c r="BB135" i="7"/>
  <c r="BQ20" i="7"/>
  <c r="BE77" i="7"/>
  <c r="BB141" i="7"/>
  <c r="BB136" i="7"/>
  <c r="CE104" i="7"/>
  <c r="BB171" i="7"/>
  <c r="BB192" i="7"/>
  <c r="BB181" i="7"/>
  <c r="BB169" i="7"/>
  <c r="BB168" i="7"/>
  <c r="BB172" i="7"/>
  <c r="BB160" i="7"/>
  <c r="BT71" i="7"/>
  <c r="BE106" i="7"/>
  <c r="BN71" i="7"/>
  <c r="BQ71" i="7" s="1"/>
  <c r="BB23" i="7"/>
  <c r="BE23" i="7" s="1"/>
  <c r="BE115" i="7"/>
  <c r="BE161" i="7"/>
  <c r="BB41" i="7"/>
  <c r="BE41" i="7" s="1"/>
  <c r="CE157" i="7"/>
  <c r="CE185" i="7"/>
  <c r="CE184" i="7"/>
  <c r="CE106" i="7"/>
  <c r="CE97" i="7"/>
  <c r="CE163" i="7"/>
  <c r="CE66" i="7"/>
  <c r="CE43" i="7"/>
  <c r="CE119" i="7"/>
  <c r="CE35" i="7"/>
  <c r="CE72" i="7"/>
  <c r="CE76" i="7"/>
  <c r="CE58" i="7"/>
  <c r="CE108" i="7"/>
  <c r="CE91" i="7"/>
  <c r="CE160" i="7"/>
  <c r="CE78" i="7"/>
  <c r="CE144" i="7"/>
  <c r="CE14" i="7"/>
  <c r="BK39" i="7"/>
  <c r="CE25" i="7"/>
  <c r="CE155" i="7"/>
  <c r="CE159" i="7"/>
  <c r="CE166" i="7"/>
  <c r="CE117" i="7"/>
  <c r="CE34" i="7"/>
  <c r="CE189" i="7"/>
  <c r="CE183" i="7"/>
  <c r="CE71" i="7"/>
  <c r="BH138" i="7"/>
  <c r="BH102" i="7"/>
  <c r="BH153" i="7"/>
  <c r="BH106" i="7"/>
  <c r="BB34" i="7"/>
  <c r="BE34" i="7" s="1"/>
  <c r="BH34" i="7" s="1"/>
  <c r="BK34" i="7" s="1"/>
  <c r="BN34" i="7" s="1"/>
  <c r="BE36" i="7"/>
  <c r="BH36" i="7" s="1"/>
  <c r="BK36" i="7" s="1"/>
  <c r="BN36" i="7" s="1"/>
  <c r="BQ36" i="7" s="1"/>
  <c r="BT36" i="7" s="1"/>
  <c r="BW36" i="7" s="1"/>
  <c r="BZ36" i="7" s="1"/>
  <c r="CC36" i="7" s="1"/>
  <c r="BE110" i="7"/>
  <c r="CE193" i="7"/>
  <c r="BB49" i="7"/>
  <c r="BE49" i="7" s="1"/>
  <c r="BH49" i="7" s="1"/>
  <c r="BK49" i="7" s="1"/>
  <c r="BN49" i="7" s="1"/>
  <c r="BQ49" i="7" s="1"/>
  <c r="BT49" i="7" s="1"/>
  <c r="BE120" i="7"/>
  <c r="BE116" i="7"/>
  <c r="BH23" i="7"/>
  <c r="BK23" i="7" s="1"/>
  <c r="BN23" i="7" s="1"/>
  <c r="BQ23" i="7" s="1"/>
  <c r="BT23" i="7" s="1"/>
  <c r="BW23" i="7" s="1"/>
  <c r="BZ23" i="7" s="1"/>
  <c r="CC23" i="7" s="1"/>
  <c r="BN75" i="7"/>
  <c r="BQ75" i="7" s="1"/>
  <c r="BE127" i="7"/>
  <c r="BH77" i="7"/>
  <c r="BK77" i="7" s="1"/>
  <c r="BB91" i="7"/>
  <c r="BB145" i="7"/>
  <c r="BE98" i="7"/>
  <c r="BB54" i="7"/>
  <c r="BE54" i="7" s="1"/>
  <c r="BH54" i="7" s="1"/>
  <c r="BK54" i="7" s="1"/>
  <c r="BN54" i="7" s="1"/>
  <c r="BQ54" i="7" s="1"/>
  <c r="BT54" i="7" s="1"/>
  <c r="BW54" i="7" s="1"/>
  <c r="BZ54" i="7" s="1"/>
  <c r="CC54" i="7" s="1"/>
  <c r="BE10" i="7"/>
  <c r="BH10" i="7" s="1"/>
  <c r="BN76" i="7"/>
  <c r="BQ76" i="7" s="1"/>
  <c r="BT76" i="7" s="1"/>
  <c r="BW76" i="7" s="1"/>
  <c r="BB67" i="7"/>
  <c r="BE67" i="7" s="1"/>
  <c r="BH67" i="7" s="1"/>
  <c r="BK67" i="7" s="1"/>
  <c r="BN67" i="7" s="1"/>
  <c r="BQ67" i="7" s="1"/>
  <c r="BT67" i="7" s="1"/>
  <c r="BW67" i="7" s="1"/>
  <c r="BZ67" i="7" s="1"/>
  <c r="CC67" i="7" s="1"/>
  <c r="CE77" i="7"/>
  <c r="BB158" i="7"/>
  <c r="BB51" i="7"/>
  <c r="BE51" i="7" s="1"/>
  <c r="BH51" i="7" s="1"/>
  <c r="BK51" i="7" s="1"/>
  <c r="BB170" i="7"/>
  <c r="BB167" i="7"/>
  <c r="CE45" i="7"/>
  <c r="BE158" i="7"/>
  <c r="BB154" i="7"/>
  <c r="CE16" i="7"/>
  <c r="CE17" i="7"/>
  <c r="CE54" i="7"/>
  <c r="CE75" i="7"/>
  <c r="CE98" i="7"/>
  <c r="BH93" i="7"/>
  <c r="BH115" i="7"/>
  <c r="BH101" i="7"/>
  <c r="BH157" i="7"/>
  <c r="BH137" i="7"/>
  <c r="BB5" i="7"/>
  <c r="BE94" i="7"/>
  <c r="CE105" i="7"/>
  <c r="BB125" i="7"/>
  <c r="BB75" i="7"/>
  <c r="BE75" i="7" s="1"/>
  <c r="BH75" i="7" s="1"/>
  <c r="BK75" i="7" s="1"/>
  <c r="BW8" i="7"/>
  <c r="BZ8" i="7" s="1"/>
  <c r="CC8" i="7" s="1"/>
  <c r="BE97" i="7"/>
  <c r="BE150" i="7"/>
  <c r="BB153" i="7"/>
  <c r="BE139" i="7"/>
  <c r="BB46" i="7"/>
  <c r="BE46" i="7" s="1"/>
  <c r="BB39" i="7"/>
  <c r="BE39" i="7" s="1"/>
  <c r="BB32" i="7"/>
  <c r="BE32" i="7" s="1"/>
  <c r="BH32" i="7" s="1"/>
  <c r="BK32" i="7" s="1"/>
  <c r="BN32" i="7" s="1"/>
  <c r="BQ32" i="7" s="1"/>
  <c r="BT32" i="7" s="1"/>
  <c r="BW32" i="7" s="1"/>
  <c r="BZ32" i="7" s="1"/>
  <c r="CC32" i="7" s="1"/>
  <c r="BT31" i="7"/>
  <c r="BB29" i="7"/>
  <c r="BE29" i="7" s="1"/>
  <c r="BB87" i="7"/>
  <c r="BB189" i="7"/>
  <c r="BB163" i="7"/>
  <c r="BB99" i="7"/>
  <c r="BB122" i="7"/>
  <c r="CE22" i="7"/>
  <c r="CE62" i="7"/>
  <c r="CE122" i="7"/>
  <c r="CE100" i="7"/>
  <c r="BH162" i="7"/>
  <c r="BH120" i="7"/>
  <c r="BH113" i="7"/>
  <c r="BH132" i="7"/>
  <c r="BH134" i="7"/>
  <c r="BH105" i="7"/>
  <c r="BH154" i="7"/>
  <c r="BH117" i="7"/>
  <c r="BH140" i="7"/>
  <c r="BH160" i="7"/>
  <c r="BH151" i="7"/>
  <c r="BH136" i="7"/>
  <c r="BH156" i="7"/>
  <c r="BB90" i="7"/>
  <c r="BZ58" i="7"/>
  <c r="CC58" i="7" s="1"/>
  <c r="BK64" i="7"/>
  <c r="BN64" i="7" s="1"/>
  <c r="BQ64" i="7" s="1"/>
  <c r="BT64" i="7" s="1"/>
  <c r="BW64" i="7" s="1"/>
  <c r="BZ64" i="7" s="1"/>
  <c r="CC64" i="7" s="1"/>
  <c r="BB81" i="7"/>
  <c r="BE81" i="7" s="1"/>
  <c r="BH81" i="7" s="1"/>
  <c r="BK81" i="7" s="1"/>
  <c r="BN81" i="7" s="1"/>
  <c r="BH66" i="7"/>
  <c r="BK66" i="7" s="1"/>
  <c r="BN66" i="7" s="1"/>
  <c r="BB17" i="7"/>
  <c r="BE17" i="7" s="1"/>
  <c r="BH17" i="7" s="1"/>
  <c r="BK17" i="7" s="1"/>
  <c r="BN17" i="7" s="1"/>
  <c r="BQ17" i="7" s="1"/>
  <c r="BT17" i="7" s="1"/>
  <c r="BW17" i="7" s="1"/>
  <c r="BZ17" i="7" s="1"/>
  <c r="CC17" i="7" s="1"/>
  <c r="CE6" i="7"/>
  <c r="CC4" i="7"/>
  <c r="BE100" i="7"/>
  <c r="BE86" i="7"/>
  <c r="BB71" i="7"/>
  <c r="BE71" i="7" s="1"/>
  <c r="BB15" i="7"/>
  <c r="BE15" i="7" s="1"/>
  <c r="BH15" i="7" s="1"/>
  <c r="BK15" i="7" s="1"/>
  <c r="BN15" i="7" s="1"/>
  <c r="BQ15" i="7" s="1"/>
  <c r="BT15" i="7" s="1"/>
  <c r="BW15" i="7" s="1"/>
  <c r="BZ15" i="7" s="1"/>
  <c r="CC15" i="7" s="1"/>
  <c r="CC71" i="7"/>
  <c r="CE55" i="7"/>
  <c r="BB102" i="7"/>
  <c r="BE126" i="7"/>
  <c r="BE119" i="7"/>
  <c r="BB162" i="7"/>
  <c r="CE64" i="7"/>
  <c r="BB88" i="7"/>
  <c r="CE186" i="7"/>
  <c r="BB115" i="7"/>
  <c r="CE4" i="7"/>
  <c r="BB112" i="7"/>
  <c r="BE137" i="7"/>
  <c r="BE149" i="7"/>
  <c r="CE120" i="7"/>
  <c r="BZ10" i="7"/>
  <c r="BN20" i="7"/>
  <c r="BH39" i="7"/>
  <c r="BB27" i="7"/>
  <c r="BE27" i="7" s="1"/>
  <c r="BH27" i="7" s="1"/>
  <c r="BK27" i="7" s="1"/>
  <c r="BN27" i="7" s="1"/>
  <c r="BQ27" i="7" s="1"/>
  <c r="BT27" i="7" s="1"/>
  <c r="BW27" i="7" s="1"/>
  <c r="BZ27" i="7" s="1"/>
  <c r="CC27" i="7" s="1"/>
  <c r="BE159" i="7"/>
  <c r="BE123" i="7"/>
  <c r="BT16" i="7"/>
  <c r="BB80" i="7"/>
  <c r="BE80" i="7" s="1"/>
  <c r="BH80" i="7" s="1"/>
  <c r="BK80" i="7" s="1"/>
  <c r="BN80" i="7" s="1"/>
  <c r="BQ80" i="7" s="1"/>
  <c r="BT80" i="7" s="1"/>
  <c r="BW80" i="7" s="1"/>
  <c r="BZ80" i="7" s="1"/>
  <c r="CC80" i="7" s="1"/>
  <c r="BB101" i="7"/>
  <c r="CC39" i="7"/>
  <c r="BB22" i="7"/>
  <c r="BE22" i="7" s="1"/>
  <c r="BH22" i="7" s="1"/>
  <c r="BK22" i="7" s="1"/>
  <c r="BN22" i="7" s="1"/>
  <c r="BT20" i="7"/>
  <c r="BN65" i="7"/>
  <c r="BQ65" i="7" s="1"/>
  <c r="BT65" i="7" s="1"/>
  <c r="BW65" i="7" s="1"/>
  <c r="BZ65" i="7" s="1"/>
  <c r="CC65" i="7" s="1"/>
  <c r="BE146" i="7"/>
  <c r="BE128" i="7"/>
  <c r="BB11" i="7"/>
  <c r="BE11" i="7" s="1"/>
  <c r="BH11" i="7" s="1"/>
  <c r="BK11" i="7" s="1"/>
  <c r="BN11" i="7" s="1"/>
  <c r="BQ11" i="7" s="1"/>
  <c r="BT11" i="7" s="1"/>
  <c r="BW11" i="7" s="1"/>
  <c r="BZ11" i="7" s="1"/>
  <c r="CC11" i="7" s="1"/>
  <c r="BB108" i="7"/>
  <c r="CE28" i="7"/>
  <c r="BB121" i="7"/>
  <c r="BB45" i="7"/>
  <c r="BE45" i="7" s="1"/>
  <c r="BH45" i="7" s="1"/>
  <c r="BK45" i="7" s="1"/>
  <c r="BN45" i="7" s="1"/>
  <c r="BQ45" i="7" s="1"/>
  <c r="BT45" i="7" s="1"/>
  <c r="BW45" i="7" s="1"/>
  <c r="BZ45" i="7" s="1"/>
  <c r="CC45" i="7" s="1"/>
  <c r="CE88" i="7"/>
  <c r="CE79" i="7"/>
  <c r="BB61" i="7"/>
  <c r="BE61" i="7" s="1"/>
  <c r="BH61" i="7" s="1"/>
  <c r="BK61" i="7" s="1"/>
  <c r="BN61" i="7" s="1"/>
  <c r="BQ61" i="7" s="1"/>
  <c r="BT61" i="7" s="1"/>
  <c r="BW61" i="7" s="1"/>
  <c r="BZ61" i="7" s="1"/>
  <c r="CC61" i="7" s="1"/>
  <c r="BW19" i="7"/>
  <c r="BZ19" i="7" s="1"/>
  <c r="CC19" i="7" s="1"/>
  <c r="BB146" i="7"/>
  <c r="CE52" i="7"/>
  <c r="BB86" i="7"/>
  <c r="BB138" i="7"/>
  <c r="BB28" i="7"/>
  <c r="BE28" i="7" s="1"/>
  <c r="BH28" i="7" s="1"/>
  <c r="BK28" i="7" s="1"/>
  <c r="BN28" i="7" s="1"/>
  <c r="BE48" i="7"/>
  <c r="BB193" i="7"/>
  <c r="BB188" i="7"/>
  <c r="BB190" i="7"/>
  <c r="BB177" i="7"/>
  <c r="BB186" i="7"/>
  <c r="BB175" i="7"/>
  <c r="BE104" i="7"/>
  <c r="BB74" i="7"/>
  <c r="BE74" i="7" s="1"/>
  <c r="BH74" i="7" s="1"/>
  <c r="BK74" i="7" s="1"/>
  <c r="BN74" i="7" s="1"/>
  <c r="BQ74" i="7" s="1"/>
  <c r="BT74" i="7" s="1"/>
  <c r="BW74" i="7" s="1"/>
  <c r="BZ74" i="7" s="1"/>
  <c r="CC74" i="7" s="1"/>
  <c r="CC60" i="7"/>
  <c r="BN31" i="7"/>
  <c r="BQ31" i="7" s="1"/>
  <c r="BB7" i="7"/>
  <c r="CE10" i="7"/>
  <c r="CE174" i="7"/>
  <c r="CE49" i="7"/>
  <c r="CE80" i="7"/>
  <c r="CE116" i="7"/>
  <c r="CE70" i="7"/>
  <c r="CE158" i="7"/>
  <c r="CE15" i="7"/>
  <c r="BH186" i="7"/>
  <c r="BH179" i="7"/>
  <c r="BH173" i="7"/>
  <c r="BH184" i="7"/>
  <c r="BH191" i="7"/>
  <c r="BH190" i="7"/>
  <c r="BH193" i="7"/>
  <c r="BH166" i="7"/>
  <c r="BH176" i="7"/>
  <c r="BH165" i="7"/>
  <c r="BH177" i="7"/>
  <c r="BH198" i="7"/>
  <c r="BH180" i="7"/>
  <c r="BH175" i="7"/>
  <c r="BH181" i="7"/>
  <c r="BH188" i="7"/>
  <c r="BH185" i="7"/>
  <c r="BH178" i="7"/>
  <c r="BH170" i="7"/>
  <c r="BH196" i="7"/>
  <c r="BH194" i="7"/>
  <c r="BH187" i="7"/>
  <c r="BH164" i="7"/>
  <c r="BH192" i="7"/>
  <c r="BH195" i="7"/>
  <c r="BH168" i="7"/>
  <c r="BH182" i="7"/>
  <c r="BH167" i="7"/>
  <c r="BH171" i="7"/>
  <c r="BH183" i="7"/>
  <c r="BH163" i="7"/>
  <c r="BH172" i="7"/>
  <c r="BH169" i="7"/>
  <c r="BH197" i="7"/>
  <c r="BH189" i="7"/>
  <c r="BH174" i="7"/>
  <c r="BE170" i="7"/>
  <c r="BE196" i="7"/>
  <c r="BE188" i="7"/>
  <c r="BE164" i="7"/>
  <c r="BE177" i="7"/>
  <c r="BE175" i="7"/>
  <c r="BE168" i="7"/>
  <c r="BE179" i="7"/>
  <c r="BE178" i="7"/>
  <c r="BE190" i="7"/>
  <c r="BE180" i="7"/>
  <c r="BE169" i="7"/>
  <c r="BE193" i="7"/>
  <c r="BE186" i="7"/>
  <c r="BE165" i="7"/>
  <c r="BE184" i="7"/>
  <c r="BE176" i="7"/>
  <c r="BE172" i="7"/>
  <c r="BE185" i="7"/>
  <c r="BE166" i="7"/>
  <c r="BE197" i="7"/>
  <c r="BE183" i="7"/>
  <c r="BE191" i="7"/>
  <c r="BE182" i="7"/>
  <c r="BE163" i="7"/>
  <c r="BE195" i="7"/>
  <c r="BE167" i="7"/>
  <c r="BE173" i="7"/>
  <c r="BE189" i="7"/>
  <c r="BE181" i="7"/>
  <c r="BE194" i="7"/>
  <c r="BE174" i="7"/>
  <c r="BE171" i="7"/>
  <c r="BE187" i="7"/>
  <c r="BE192" i="7"/>
  <c r="BE198" i="7"/>
  <c r="BK169" i="7"/>
  <c r="BK173" i="7"/>
  <c r="BK175" i="7"/>
  <c r="BK165" i="7"/>
  <c r="BK183" i="7"/>
  <c r="BK195" i="7"/>
  <c r="BK182" i="7"/>
  <c r="BK184" i="7"/>
  <c r="BK172" i="7"/>
  <c r="BK197" i="7"/>
  <c r="BK189" i="7"/>
  <c r="BK196" i="7"/>
  <c r="BK164" i="7"/>
  <c r="BK163" i="7"/>
  <c r="BK185" i="7"/>
  <c r="BK198" i="7"/>
  <c r="BK193" i="7"/>
  <c r="BK176" i="7"/>
  <c r="BK170" i="7"/>
  <c r="BK177" i="7"/>
  <c r="BK166" i="7"/>
  <c r="BK192" i="7"/>
  <c r="BK191" i="7"/>
  <c r="BK179" i="7"/>
  <c r="BK186" i="7"/>
  <c r="BK187" i="7"/>
  <c r="BK181" i="7"/>
  <c r="BK167" i="7"/>
  <c r="BK190" i="7"/>
  <c r="BK178" i="7"/>
  <c r="BK168" i="7"/>
  <c r="BK174" i="7"/>
  <c r="BK188" i="7"/>
  <c r="BK180" i="7"/>
  <c r="BK171" i="7"/>
  <c r="BK194" i="7"/>
  <c r="BK145" i="7"/>
  <c r="BK87" i="7"/>
  <c r="BK95" i="7"/>
  <c r="BK161" i="7"/>
  <c r="BK155" i="7"/>
  <c r="BK114" i="7"/>
  <c r="BK152" i="7"/>
  <c r="BK113" i="7"/>
  <c r="BK104" i="7"/>
  <c r="BK146" i="7"/>
  <c r="BK144" i="7"/>
  <c r="BK140" i="7"/>
  <c r="BK102" i="7"/>
  <c r="BK136" i="7"/>
  <c r="BK124" i="7"/>
  <c r="BK94" i="7"/>
  <c r="BK92" i="7"/>
  <c r="BK153" i="7"/>
  <c r="BK111" i="7"/>
  <c r="BK100" i="7"/>
  <c r="BK106" i="7"/>
  <c r="BK99" i="7"/>
  <c r="BK129" i="7"/>
  <c r="BK85" i="7"/>
  <c r="BN7" i="7" s="1"/>
  <c r="BK112" i="7"/>
  <c r="BK97" i="7"/>
  <c r="BK126" i="7"/>
  <c r="BK93" i="7"/>
  <c r="BK86" i="7"/>
  <c r="BK128" i="7"/>
  <c r="BK125" i="7"/>
  <c r="BK89" i="7"/>
  <c r="BK127" i="7"/>
  <c r="BK154" i="7"/>
  <c r="BK120" i="7"/>
  <c r="BK148" i="7"/>
  <c r="BK96" i="7"/>
  <c r="BK141" i="7"/>
  <c r="BK108" i="7"/>
  <c r="BK135" i="7"/>
  <c r="BK143" i="7"/>
  <c r="BK88" i="7"/>
  <c r="BK110" i="7"/>
  <c r="BK157" i="7"/>
  <c r="BK115" i="7"/>
  <c r="BK156" i="7"/>
  <c r="BK158" i="7"/>
  <c r="BK122" i="7"/>
  <c r="BK147" i="7"/>
  <c r="BK91" i="7"/>
  <c r="BK109" i="7"/>
  <c r="BK134" i="7"/>
  <c r="BK83" i="7"/>
  <c r="BK132" i="7"/>
  <c r="BK151" i="7"/>
  <c r="BK137" i="7"/>
  <c r="BK103" i="7"/>
  <c r="BK101" i="7"/>
  <c r="BK130" i="7"/>
  <c r="BK150" i="7"/>
  <c r="BK160" i="7"/>
  <c r="BK105" i="7"/>
  <c r="BK142" i="7"/>
  <c r="BK98" i="7"/>
  <c r="BK123" i="7"/>
  <c r="BK149" i="7"/>
  <c r="BK131" i="7"/>
  <c r="BK162" i="7"/>
  <c r="BK116" i="7"/>
  <c r="BK139" i="7"/>
  <c r="BK133" i="7"/>
  <c r="BK138" i="7"/>
  <c r="BK159" i="7"/>
  <c r="BK119" i="7"/>
  <c r="BK121" i="7"/>
  <c r="BK117" i="7"/>
  <c r="BK84" i="7"/>
  <c r="BK90" i="7"/>
  <c r="BK107" i="7"/>
  <c r="BK118" i="7"/>
  <c r="CE31" i="7" l="1"/>
  <c r="CE146" i="7"/>
  <c r="CE179" i="7"/>
  <c r="CE38" i="7"/>
  <c r="CE74" i="7"/>
  <c r="CE26" i="7"/>
  <c r="CE123" i="7"/>
  <c r="CE53" i="7"/>
  <c r="CE187" i="7"/>
  <c r="CE59" i="7"/>
  <c r="CE137" i="7"/>
  <c r="CE145" i="7"/>
  <c r="CE46" i="7"/>
  <c r="CE147" i="7"/>
  <c r="CC20" i="7"/>
  <c r="BE114" i="7"/>
  <c r="BB182" i="7"/>
  <c r="BB144" i="7"/>
  <c r="CE61" i="7"/>
  <c r="BB148" i="7"/>
  <c r="BB73" i="7"/>
  <c r="BE73" i="7" s="1"/>
  <c r="BH73" i="7" s="1"/>
  <c r="BK73" i="7" s="1"/>
  <c r="BN73" i="7" s="1"/>
  <c r="BQ73" i="7" s="1"/>
  <c r="BT73" i="7" s="1"/>
  <c r="BW73" i="7" s="1"/>
  <c r="BZ73" i="7" s="1"/>
  <c r="CC73" i="7" s="1"/>
  <c r="CE118" i="7"/>
  <c r="BB44" i="7"/>
  <c r="BE44" i="7" s="1"/>
  <c r="BH44" i="7" s="1"/>
  <c r="BK44" i="7" s="1"/>
  <c r="BB36" i="7"/>
  <c r="BB14" i="7"/>
  <c r="BE14" i="7" s="1"/>
  <c r="BH14" i="7" s="1"/>
  <c r="BK14" i="7" s="1"/>
  <c r="BN14" i="7" s="1"/>
  <c r="BQ14" i="7" s="1"/>
  <c r="BT14" i="7" s="1"/>
  <c r="BW14" i="7" s="1"/>
  <c r="BZ14" i="7" s="1"/>
  <c r="CC14" i="7" s="1"/>
  <c r="BE107" i="7"/>
  <c r="BB60" i="7"/>
  <c r="BE60" i="7" s="1"/>
  <c r="BH60" i="7" s="1"/>
  <c r="BK60" i="7" s="1"/>
  <c r="BN60" i="7" s="1"/>
  <c r="BE134" i="7"/>
  <c r="CE125" i="7"/>
  <c r="BH110" i="7"/>
  <c r="BH122" i="7"/>
  <c r="CE57" i="7"/>
  <c r="CE42" i="7"/>
  <c r="BB196" i="7"/>
  <c r="BN5" i="7"/>
  <c r="CE167" i="7"/>
  <c r="BB16" i="7"/>
  <c r="BE16" i="7" s="1"/>
  <c r="CE90" i="7"/>
  <c r="BH108" i="7"/>
  <c r="BB119" i="7"/>
  <c r="BW20" i="7"/>
  <c r="BZ20" i="7" s="1"/>
  <c r="BB58" i="7"/>
  <c r="BE58" i="7" s="1"/>
  <c r="BH58" i="7" s="1"/>
  <c r="BK58" i="7" s="1"/>
  <c r="BN58" i="7" s="1"/>
  <c r="BQ58" i="7" s="1"/>
  <c r="BT58" i="7" s="1"/>
  <c r="BW58" i="7" s="1"/>
  <c r="CE30" i="7"/>
  <c r="BW44" i="7"/>
  <c r="BZ44" i="7" s="1"/>
  <c r="CC44" i="7" s="1"/>
  <c r="BH124" i="7"/>
  <c r="CE41" i="7"/>
  <c r="CE67" i="7"/>
  <c r="CE65" i="7"/>
  <c r="CE96" i="7"/>
  <c r="CE86" i="7"/>
  <c r="CE84" i="7"/>
  <c r="CE164" i="7"/>
  <c r="CE92" i="7"/>
  <c r="CE176" i="7"/>
  <c r="CE182" i="7"/>
  <c r="CE20" i="7"/>
  <c r="BB132" i="7"/>
  <c r="CE89" i="7"/>
  <c r="CE99" i="7"/>
  <c r="CE95" i="7"/>
  <c r="BH85" i="7"/>
  <c r="BK7" i="7" s="1"/>
  <c r="CE82" i="7"/>
  <c r="CE51" i="7"/>
  <c r="BW49" i="7"/>
  <c r="BZ49" i="7" s="1"/>
  <c r="CC49" i="7" s="1"/>
  <c r="CE172" i="7"/>
  <c r="BB178" i="7"/>
  <c r="BB147" i="7"/>
  <c r="BQ60" i="7"/>
  <c r="BT60" i="7" s="1"/>
  <c r="BW60" i="7" s="1"/>
  <c r="BZ60" i="7" s="1"/>
  <c r="BB56" i="7"/>
  <c r="BE56" i="7" s="1"/>
  <c r="BH56" i="7" s="1"/>
  <c r="BK56" i="7" s="1"/>
  <c r="BN56" i="7" s="1"/>
  <c r="BQ56" i="7" s="1"/>
  <c r="BT56" i="7" s="1"/>
  <c r="BW56" i="7" s="1"/>
  <c r="BZ56" i="7" s="1"/>
  <c r="CC56" i="7" s="1"/>
  <c r="BB82" i="7"/>
  <c r="BE82" i="7" s="1"/>
  <c r="BH82" i="7" s="1"/>
  <c r="BK82" i="7" s="1"/>
  <c r="BN82" i="7" s="1"/>
  <c r="BQ82" i="7" s="1"/>
  <c r="BT82" i="7" s="1"/>
  <c r="BW82" i="7" s="1"/>
  <c r="BZ82" i="7" s="1"/>
  <c r="CC82" i="7" s="1"/>
  <c r="CE60" i="7"/>
  <c r="CE173" i="7"/>
  <c r="BB76" i="7"/>
  <c r="BE76" i="7" s="1"/>
  <c r="BH76" i="7" s="1"/>
  <c r="BK76" i="7" s="1"/>
  <c r="BE138" i="7"/>
  <c r="BQ77" i="7"/>
  <c r="BT77" i="7" s="1"/>
  <c r="BE113" i="7"/>
  <c r="CE102" i="7"/>
  <c r="CE124" i="7"/>
  <c r="BQ5" i="7"/>
  <c r="BT5" i="7" s="1"/>
  <c r="BW5" i="7" s="1"/>
  <c r="BZ5" i="7" s="1"/>
  <c r="CC5" i="7" s="1"/>
  <c r="BH112" i="7"/>
  <c r="BH114" i="7"/>
  <c r="CE175" i="7"/>
  <c r="BB198" i="7"/>
  <c r="BB47" i="7"/>
  <c r="BE47" i="7" s="1"/>
  <c r="BH47" i="7" s="1"/>
  <c r="BK47" i="7" s="1"/>
  <c r="BN47" i="7" s="1"/>
  <c r="BQ47" i="7" s="1"/>
  <c r="BT47" i="7" s="1"/>
  <c r="BW47" i="7" s="1"/>
  <c r="BE141" i="7"/>
  <c r="BB64" i="7"/>
  <c r="BE64" i="7" s="1"/>
  <c r="BH64" i="7" s="1"/>
  <c r="BZ39" i="7"/>
  <c r="BB173" i="7"/>
  <c r="BE30" i="7"/>
  <c r="BH30" i="7" s="1"/>
  <c r="CE195" i="7"/>
  <c r="BE154" i="7"/>
  <c r="CE19" i="7"/>
  <c r="CE140" i="7"/>
  <c r="CE162" i="7"/>
  <c r="CE191" i="7"/>
  <c r="BH131" i="7"/>
  <c r="CE136" i="7"/>
  <c r="CE139" i="7"/>
  <c r="CE141" i="7"/>
  <c r="CE135" i="7"/>
  <c r="BE96" i="7"/>
  <c r="CE29" i="7"/>
  <c r="BB109" i="7"/>
  <c r="BB176" i="7"/>
  <c r="BB165" i="7"/>
  <c r="BB84" i="7"/>
  <c r="BB98" i="7"/>
  <c r="BK5" i="7"/>
  <c r="CE37" i="7"/>
  <c r="BT35" i="7"/>
  <c r="CE153" i="7"/>
  <c r="CE149" i="7"/>
  <c r="CE127" i="7"/>
  <c r="BB37" i="7"/>
  <c r="BE37" i="7" s="1"/>
  <c r="BH37" i="7" s="1"/>
  <c r="BK37" i="7" s="1"/>
  <c r="BN37" i="7" s="1"/>
  <c r="BQ37" i="7" s="1"/>
  <c r="BT37" i="7" s="1"/>
  <c r="BW37" i="7" s="1"/>
  <c r="BZ37" i="7" s="1"/>
  <c r="CC37" i="7" s="1"/>
  <c r="BQ16" i="7"/>
  <c r="BB43" i="7"/>
  <c r="BE43" i="7" s="1"/>
  <c r="BH43" i="7" s="1"/>
  <c r="BK43" i="7" s="1"/>
  <c r="BN43" i="7" s="1"/>
  <c r="BQ43" i="7" s="1"/>
  <c r="BT43" i="7" s="1"/>
  <c r="BW43" i="7" s="1"/>
  <c r="BZ43" i="7" s="1"/>
  <c r="CC43" i="7" s="1"/>
  <c r="BE129" i="7"/>
  <c r="BB157" i="7"/>
  <c r="BK30" i="7"/>
  <c r="BN30" i="7" s="1"/>
  <c r="BQ30" i="7" s="1"/>
  <c r="BT30" i="7" s="1"/>
  <c r="BW30" i="7" s="1"/>
  <c r="BZ30" i="7" s="1"/>
  <c r="CC30" i="7" s="1"/>
  <c r="BB137" i="7"/>
  <c r="BB133" i="7"/>
  <c r="BB134" i="7"/>
  <c r="CE87" i="7"/>
  <c r="BT81" i="7"/>
  <c r="BW81" i="7" s="1"/>
  <c r="BZ81" i="7" s="1"/>
  <c r="CC81" i="7" s="1"/>
  <c r="CE171" i="7"/>
  <c r="BB38" i="7"/>
  <c r="BE38" i="7" s="1"/>
  <c r="BH38" i="7" s="1"/>
  <c r="BK38" i="7" s="1"/>
  <c r="CE40" i="7"/>
  <c r="BE156" i="7"/>
  <c r="CE110" i="7"/>
  <c r="CE156" i="7"/>
  <c r="CE168" i="7"/>
  <c r="BH126" i="7"/>
  <c r="BH98" i="7"/>
  <c r="BH118" i="7"/>
  <c r="BH84" i="7"/>
  <c r="BH116" i="7"/>
  <c r="CE47" i="7"/>
  <c r="CE143" i="7"/>
  <c r="CE63" i="7"/>
  <c r="CE165" i="7"/>
  <c r="CE93" i="7"/>
  <c r="CE7" i="7"/>
  <c r="CE152" i="7"/>
  <c r="BE152" i="7"/>
  <c r="BB187" i="7"/>
  <c r="BB180" i="7"/>
  <c r="BE20" i="7"/>
  <c r="BB127" i="7"/>
  <c r="BB83" i="7"/>
  <c r="BZ13" i="7"/>
  <c r="CC13" i="7" s="1"/>
  <c r="CE81" i="7"/>
  <c r="BB40" i="7"/>
  <c r="BE40" i="7" s="1"/>
  <c r="BH40" i="7" s="1"/>
  <c r="BK40" i="7" s="1"/>
  <c r="BN40" i="7" s="1"/>
  <c r="BQ40" i="7" s="1"/>
  <c r="BT40" i="7" s="1"/>
  <c r="BW40" i="7" s="1"/>
  <c r="BZ40" i="7" s="1"/>
  <c r="CC40" i="7" s="1"/>
  <c r="BB63" i="7"/>
  <c r="BE63" i="7" s="1"/>
  <c r="BH63" i="7" s="1"/>
  <c r="BK63" i="7" s="1"/>
  <c r="BN63" i="7" s="1"/>
  <c r="BQ63" i="7" s="1"/>
  <c r="BT63" i="7" s="1"/>
  <c r="BW63" i="7" s="1"/>
  <c r="BZ63" i="7" s="1"/>
  <c r="CC63" i="7" s="1"/>
  <c r="CE44" i="7"/>
  <c r="BE125" i="7"/>
  <c r="CE69" i="7"/>
  <c r="BB8" i="7"/>
  <c r="BE8" i="7" s="1"/>
  <c r="BH8" i="7" s="1"/>
  <c r="BK8" i="7" s="1"/>
  <c r="BN8" i="7" s="1"/>
  <c r="BQ8" i="7" s="1"/>
  <c r="BT8" i="7" s="1"/>
  <c r="BB21" i="7"/>
  <c r="BE21" i="7" s="1"/>
  <c r="BH21" i="7" s="1"/>
  <c r="BK21" i="7" s="1"/>
  <c r="BN21" i="7" s="1"/>
  <c r="BQ21" i="7" s="1"/>
  <c r="BT21" i="7" s="1"/>
  <c r="BW21" i="7" s="1"/>
  <c r="BZ21" i="7" s="1"/>
  <c r="CC21" i="7" s="1"/>
  <c r="BE105" i="7"/>
  <c r="BN44" i="7"/>
  <c r="BQ44" i="7" s="1"/>
  <c r="BT44" i="7" s="1"/>
  <c r="CE36" i="7"/>
  <c r="BE83" i="7"/>
  <c r="BQ28" i="7"/>
  <c r="BT28" i="7" s="1"/>
  <c r="BW28" i="7" s="1"/>
  <c r="BZ28" i="7" s="1"/>
  <c r="CC28" i="7" s="1"/>
  <c r="BW16" i="7"/>
  <c r="BZ16" i="7" s="1"/>
  <c r="BE99" i="7"/>
  <c r="CE129" i="7"/>
  <c r="BB107" i="7"/>
  <c r="CE170" i="7"/>
  <c r="BE109" i="7"/>
  <c r="CE128" i="7"/>
  <c r="CE23" i="7"/>
  <c r="BH127" i="7"/>
  <c r="BH144" i="7"/>
  <c r="BH129" i="7"/>
  <c r="BH99" i="7"/>
  <c r="BH159" i="7"/>
  <c r="CE194" i="7"/>
  <c r="CE9" i="7"/>
  <c r="CE8" i="7"/>
  <c r="CE133" i="7"/>
  <c r="CE13" i="7"/>
  <c r="BB194" i="7"/>
  <c r="BB179" i="7"/>
  <c r="BB72" i="7"/>
  <c r="BE72" i="7" s="1"/>
  <c r="BH72" i="7" s="1"/>
  <c r="BK72" i="7" s="1"/>
  <c r="BN72" i="7" s="1"/>
  <c r="BQ72" i="7" s="1"/>
  <c r="BT72" i="7" s="1"/>
  <c r="BW72" i="7" s="1"/>
  <c r="BZ72" i="7" s="1"/>
  <c r="CC72" i="7" s="1"/>
  <c r="BK71" i="7"/>
  <c r="CE113" i="7"/>
  <c r="CE115" i="7"/>
  <c r="CE131" i="7"/>
  <c r="CE68" i="7"/>
  <c r="BK26" i="7"/>
  <c r="BN26" i="7" s="1"/>
  <c r="BQ26" i="7" s="1"/>
  <c r="BT26" i="7" s="1"/>
  <c r="BW26" i="7" s="1"/>
  <c r="BZ26" i="7" s="1"/>
  <c r="CC26" i="7" s="1"/>
  <c r="BE121" i="7"/>
  <c r="BH20" i="7"/>
  <c r="BK20" i="7" s="1"/>
  <c r="BB6" i="7"/>
  <c r="BE6" i="7" s="1"/>
  <c r="BH6" i="7" s="1"/>
  <c r="BK6" i="7" s="1"/>
  <c r="BN6" i="7" s="1"/>
  <c r="BQ6" i="7" s="1"/>
  <c r="BT6" i="7" s="1"/>
  <c r="BW6" i="7" s="1"/>
  <c r="BZ6" i="7" s="1"/>
  <c r="CC6" i="7" s="1"/>
  <c r="BB35" i="7"/>
  <c r="BE35" i="7" s="1"/>
  <c r="BH35" i="7" s="1"/>
  <c r="BK35" i="7" s="1"/>
  <c r="BE124" i="7"/>
  <c r="BB79" i="7"/>
  <c r="BE79" i="7" s="1"/>
  <c r="BH79" i="7" s="1"/>
  <c r="BK79" i="7" s="1"/>
  <c r="BN79" i="7" s="1"/>
  <c r="BQ79" i="7" s="1"/>
  <c r="BT79" i="7" s="1"/>
  <c r="BW79" i="7" s="1"/>
  <c r="BZ79" i="7" s="1"/>
  <c r="CC79" i="7" s="1"/>
  <c r="CE198" i="7"/>
  <c r="BE153" i="7"/>
  <c r="CC10" i="7"/>
  <c r="BB62" i="7"/>
  <c r="BE62" i="7" s="1"/>
  <c r="BH62" i="7" s="1"/>
  <c r="BK62" i="7" s="1"/>
  <c r="BN62" i="7" s="1"/>
  <c r="BQ62" i="7" s="1"/>
  <c r="BT62" i="7" s="1"/>
  <c r="BW62" i="7" s="1"/>
  <c r="BZ62" i="7" s="1"/>
  <c r="CC62" i="7" s="1"/>
  <c r="BE85" i="7"/>
  <c r="BH7" i="7" s="1"/>
  <c r="BB149" i="7"/>
  <c r="CE50" i="7"/>
  <c r="CE24" i="7"/>
  <c r="BE118" i="7"/>
  <c r="CE192" i="7"/>
  <c r="CE83" i="7"/>
  <c r="CE33" i="7"/>
  <c r="BH103" i="7"/>
  <c r="BH143" i="7"/>
  <c r="BH135" i="7"/>
  <c r="BH128" i="7"/>
  <c r="CE39" i="7"/>
  <c r="BB24" i="7"/>
  <c r="BE24" i="7" s="1"/>
  <c r="BH24" i="7" s="1"/>
  <c r="BK24" i="7" s="1"/>
  <c r="BN24" i="7" s="1"/>
  <c r="BQ24" i="7" s="1"/>
  <c r="BT24" i="7" s="1"/>
  <c r="BW24" i="7" s="1"/>
  <c r="BZ24" i="7" s="1"/>
  <c r="CC24" i="7" s="1"/>
  <c r="CE94" i="7"/>
  <c r="BB195" i="7"/>
  <c r="BB92" i="7"/>
  <c r="BB65" i="7"/>
  <c r="BE65" i="7" s="1"/>
  <c r="BH65" i="7" s="1"/>
  <c r="BK65" i="7" s="1"/>
  <c r="BB12" i="7"/>
  <c r="BE12" i="7" s="1"/>
  <c r="BH12" i="7" s="1"/>
  <c r="BK12" i="7" s="1"/>
  <c r="BN12" i="7" s="1"/>
  <c r="BQ12" i="7" s="1"/>
  <c r="BT12" i="7" s="1"/>
  <c r="BW12" i="7" s="1"/>
  <c r="BZ12" i="7" s="1"/>
  <c r="CC12" i="7" s="1"/>
  <c r="CE177" i="7"/>
  <c r="BZ29" i="7"/>
  <c r="CC29" i="7" s="1"/>
  <c r="BB106" i="7"/>
  <c r="BE117" i="7"/>
  <c r="CE169" i="7"/>
  <c r="CE114" i="7"/>
  <c r="BB31" i="7"/>
  <c r="BE31" i="7" s="1"/>
  <c r="CE56" i="7"/>
  <c r="CE197" i="7"/>
  <c r="BH83" i="7"/>
  <c r="BH158" i="7"/>
  <c r="CE103" i="7"/>
  <c r="BT75" i="7"/>
  <c r="BW75" i="7" s="1"/>
  <c r="BZ75" i="7" s="1"/>
  <c r="CC75" i="7" s="1"/>
  <c r="BB117" i="7"/>
  <c r="BB55" i="7"/>
  <c r="BE55" i="7" s="1"/>
  <c r="BH55" i="7" s="1"/>
  <c r="BK55" i="7" s="1"/>
  <c r="BN55" i="7" s="1"/>
  <c r="BQ55" i="7" s="1"/>
  <c r="BT55" i="7" s="1"/>
  <c r="BW55" i="7" s="1"/>
  <c r="BZ55" i="7" s="1"/>
  <c r="CC55" i="7" s="1"/>
  <c r="BE90" i="7"/>
  <c r="CE181" i="7"/>
  <c r="CE150" i="7"/>
  <c r="BB174" i="7"/>
  <c r="BB156" i="7"/>
  <c r="BB95" i="7"/>
  <c r="BB57" i="7"/>
  <c r="BE57" i="7" s="1"/>
  <c r="BH57" i="7" s="1"/>
  <c r="BK57" i="7" s="1"/>
  <c r="BN57" i="7" s="1"/>
  <c r="BQ57" i="7" s="1"/>
  <c r="BT57" i="7" s="1"/>
  <c r="BW57" i="7" s="1"/>
  <c r="BZ57" i="7" s="1"/>
  <c r="CC57" i="7" s="1"/>
  <c r="BE92" i="7"/>
  <c r="BH133" i="7"/>
  <c r="CE5" i="7"/>
  <c r="BN198" i="7"/>
  <c r="BN194" i="7"/>
  <c r="BN167" i="7"/>
  <c r="BN177" i="7"/>
  <c r="BN175" i="7"/>
  <c r="BN190" i="7"/>
  <c r="BN193" i="7"/>
  <c r="BN184" i="7"/>
  <c r="BN178" i="7"/>
  <c r="BN180" i="7"/>
  <c r="BN166" i="7"/>
  <c r="BN183" i="7"/>
  <c r="BN182" i="7"/>
  <c r="BN189" i="7"/>
  <c r="BN185" i="7"/>
  <c r="BN187" i="7"/>
  <c r="BN168" i="7"/>
  <c r="BN181" i="7"/>
  <c r="BN165" i="7"/>
  <c r="BN172" i="7"/>
  <c r="BN188" i="7"/>
  <c r="BN197" i="7"/>
  <c r="BN192" i="7"/>
  <c r="BN174" i="7"/>
  <c r="BN164" i="7"/>
  <c r="BN186" i="7"/>
  <c r="BN169" i="7"/>
  <c r="BN171" i="7"/>
  <c r="BN173" i="7"/>
  <c r="BN196" i="7"/>
  <c r="BN170" i="7"/>
  <c r="BN163" i="7"/>
  <c r="BN179" i="7"/>
  <c r="BN195" i="7"/>
  <c r="BN176" i="7"/>
  <c r="BN191" i="7"/>
  <c r="BN137" i="7"/>
  <c r="BN150" i="7"/>
  <c r="BN94" i="7"/>
  <c r="BN105" i="7"/>
  <c r="BN95" i="7"/>
  <c r="BN91" i="7"/>
  <c r="BN123" i="7"/>
  <c r="BN124" i="7"/>
  <c r="BN112" i="7"/>
  <c r="BN89" i="7"/>
  <c r="BN157" i="7"/>
  <c r="BN117" i="7"/>
  <c r="BN100" i="7"/>
  <c r="BN101" i="7"/>
  <c r="BN147" i="7"/>
  <c r="BN97" i="7"/>
  <c r="BN162" i="7"/>
  <c r="BN148" i="7"/>
  <c r="BN125" i="7"/>
  <c r="BN107" i="7"/>
  <c r="BN109" i="7"/>
  <c r="BN133" i="7"/>
  <c r="BN152" i="7"/>
  <c r="BN155" i="7"/>
  <c r="BN161" i="7"/>
  <c r="BN116" i="7"/>
  <c r="BN160" i="7"/>
  <c r="BN130" i="7"/>
  <c r="BN158" i="7"/>
  <c r="BN145" i="7"/>
  <c r="BN121" i="7"/>
  <c r="BN144" i="7"/>
  <c r="BN98" i="7"/>
  <c r="BN151" i="7"/>
  <c r="BN104" i="7"/>
  <c r="BN128" i="7"/>
  <c r="BN114" i="7"/>
  <c r="BN139" i="7"/>
  <c r="BN156" i="7"/>
  <c r="BN132" i="7"/>
  <c r="BN141" i="7"/>
  <c r="BN119" i="7"/>
  <c r="BN99" i="7"/>
  <c r="BN85" i="7"/>
  <c r="BQ7" i="7" s="1"/>
  <c r="BN134" i="7"/>
  <c r="BN140" i="7"/>
  <c r="BN154" i="7"/>
  <c r="BN86" i="7"/>
  <c r="BN103" i="7"/>
  <c r="BN131" i="7"/>
  <c r="BN102" i="7"/>
  <c r="BN129" i="7"/>
  <c r="BN113" i="7"/>
  <c r="BN118" i="7"/>
  <c r="BN93" i="7"/>
  <c r="BN106" i="7"/>
  <c r="BN136" i="7"/>
  <c r="BN153" i="7"/>
  <c r="BN122" i="7"/>
  <c r="BN146" i="7"/>
  <c r="BN138" i="7"/>
  <c r="BN127" i="7"/>
  <c r="BN149" i="7"/>
  <c r="BN126" i="7"/>
  <c r="BN115" i="7"/>
  <c r="BN96" i="7"/>
  <c r="BN92" i="7"/>
  <c r="BN143" i="7"/>
  <c r="BN90" i="7"/>
  <c r="BN159" i="7"/>
  <c r="BN111" i="7"/>
  <c r="BN83" i="7"/>
  <c r="BN135" i="7"/>
  <c r="BN108" i="7"/>
  <c r="BN110" i="7"/>
  <c r="BN142" i="7"/>
  <c r="BN87" i="7"/>
  <c r="BN84" i="7"/>
  <c r="BN120" i="7"/>
  <c r="BN88" i="7"/>
  <c r="BQ186" i="7" l="1"/>
  <c r="BQ189" i="7"/>
  <c r="BQ182" i="7"/>
  <c r="BQ192" i="7"/>
  <c r="BQ171" i="7"/>
  <c r="BQ178" i="7"/>
  <c r="BQ165" i="7"/>
  <c r="BQ198" i="7"/>
  <c r="BQ173" i="7"/>
  <c r="BQ179" i="7"/>
  <c r="BQ187" i="7"/>
  <c r="BQ175" i="7"/>
  <c r="BQ193" i="7"/>
  <c r="BQ188" i="7"/>
  <c r="BQ172" i="7"/>
  <c r="BQ163" i="7"/>
  <c r="BQ197" i="7"/>
  <c r="BQ190" i="7"/>
  <c r="BQ181" i="7"/>
  <c r="BQ169" i="7"/>
  <c r="BQ176" i="7"/>
  <c r="BQ184" i="7"/>
  <c r="BQ185" i="7"/>
  <c r="BQ164" i="7"/>
  <c r="BQ183" i="7"/>
  <c r="BQ174" i="7"/>
  <c r="BQ168" i="7"/>
  <c r="BQ180" i="7"/>
  <c r="BQ191" i="7"/>
  <c r="BQ166" i="7"/>
  <c r="BQ194" i="7"/>
  <c r="BQ170" i="7"/>
  <c r="BQ167" i="7"/>
  <c r="BQ195" i="7"/>
  <c r="BQ196" i="7"/>
  <c r="BQ177" i="7"/>
  <c r="BQ130" i="7"/>
  <c r="BQ151" i="7"/>
  <c r="BQ142" i="7"/>
  <c r="BQ115" i="7"/>
  <c r="BQ106" i="7"/>
  <c r="BQ108" i="7"/>
  <c r="BQ103" i="7"/>
  <c r="BQ123" i="7"/>
  <c r="BQ96" i="7"/>
  <c r="BQ122" i="7"/>
  <c r="BQ113" i="7"/>
  <c r="BQ88" i="7"/>
  <c r="BQ160" i="7"/>
  <c r="BQ107" i="7"/>
  <c r="BQ124" i="7"/>
  <c r="BQ143" i="7"/>
  <c r="BQ149" i="7"/>
  <c r="BQ91" i="7"/>
  <c r="BQ97" i="7"/>
  <c r="BQ99" i="7"/>
  <c r="BQ139" i="7"/>
  <c r="BQ148" i="7"/>
  <c r="BQ157" i="7"/>
  <c r="BQ133" i="7"/>
  <c r="BQ116" i="7"/>
  <c r="BQ114" i="7"/>
  <c r="BQ153" i="7"/>
  <c r="BQ117" i="7"/>
  <c r="BQ127" i="7"/>
  <c r="BQ95" i="7"/>
  <c r="BQ155" i="7"/>
  <c r="BQ159" i="7"/>
  <c r="BQ121" i="7"/>
  <c r="BQ156" i="7"/>
  <c r="BQ120" i="7"/>
  <c r="BQ138" i="7"/>
  <c r="BQ161" i="7"/>
  <c r="BQ131" i="7"/>
  <c r="BQ126" i="7"/>
  <c r="BQ100" i="7"/>
  <c r="BQ135" i="7"/>
  <c r="BQ87" i="7"/>
  <c r="BQ119" i="7"/>
  <c r="BQ104" i="7"/>
  <c r="BQ144" i="7"/>
  <c r="BQ134" i="7"/>
  <c r="BQ101" i="7"/>
  <c r="BQ84" i="7"/>
  <c r="BQ132" i="7"/>
  <c r="BQ128" i="7"/>
  <c r="BQ94" i="7"/>
  <c r="BQ146" i="7"/>
  <c r="BQ98" i="7"/>
  <c r="BQ141" i="7"/>
  <c r="BQ110" i="7"/>
  <c r="BQ137" i="7"/>
  <c r="BQ89" i="7"/>
  <c r="BQ158" i="7"/>
  <c r="BQ102" i="7"/>
  <c r="BQ152" i="7"/>
  <c r="BQ109" i="7"/>
  <c r="BQ129" i="7"/>
  <c r="BQ145" i="7"/>
  <c r="BQ147" i="7"/>
  <c r="BQ125" i="7"/>
  <c r="BQ140" i="7"/>
  <c r="BQ112" i="7"/>
  <c r="BQ105" i="7"/>
  <c r="BQ111" i="7"/>
  <c r="BQ118" i="7"/>
  <c r="BQ150" i="7"/>
  <c r="BQ93" i="7"/>
  <c r="BQ92" i="7"/>
  <c r="BQ162" i="7"/>
  <c r="BQ90" i="7"/>
  <c r="BQ83" i="7"/>
  <c r="BQ136" i="7"/>
  <c r="BQ86" i="7"/>
  <c r="BQ154" i="7"/>
  <c r="BQ85" i="7"/>
  <c r="BT7" i="7" s="1"/>
  <c r="BT188" i="7" l="1"/>
  <c r="BT170" i="7"/>
  <c r="BT181" i="7"/>
  <c r="BT168" i="7"/>
  <c r="BT185" i="7"/>
  <c r="BT178" i="7"/>
  <c r="BT183" i="7"/>
  <c r="BT174" i="7"/>
  <c r="BT191" i="7"/>
  <c r="BT176" i="7"/>
  <c r="BT189" i="7"/>
  <c r="BT193" i="7"/>
  <c r="BT171" i="7"/>
  <c r="BT173" i="7"/>
  <c r="BT194" i="7"/>
  <c r="BT177" i="7"/>
  <c r="BT198" i="7"/>
  <c r="BT172" i="7"/>
  <c r="BT169" i="7"/>
  <c r="BT164" i="7"/>
  <c r="BT182" i="7"/>
  <c r="BT184" i="7"/>
  <c r="BT187" i="7"/>
  <c r="BT195" i="7"/>
  <c r="BT197" i="7"/>
  <c r="BT165" i="7"/>
  <c r="BT166" i="7"/>
  <c r="BT186" i="7"/>
  <c r="BT179" i="7"/>
  <c r="BT167" i="7"/>
  <c r="BT180" i="7"/>
  <c r="BT192" i="7"/>
  <c r="BT190" i="7"/>
  <c r="BT196" i="7"/>
  <c r="BT163" i="7"/>
  <c r="BT175" i="7"/>
  <c r="BT96" i="7"/>
  <c r="BT112" i="7"/>
  <c r="BT88" i="7"/>
  <c r="BT115" i="7"/>
  <c r="BT116" i="7"/>
  <c r="BT117" i="7"/>
  <c r="BT154" i="7"/>
  <c r="BT141" i="7"/>
  <c r="BT161" i="7"/>
  <c r="BT107" i="7"/>
  <c r="BT114" i="7"/>
  <c r="BT140" i="7"/>
  <c r="BT127" i="7"/>
  <c r="BT137" i="7"/>
  <c r="BT108" i="7"/>
  <c r="BT144" i="7"/>
  <c r="BT83" i="7"/>
  <c r="BT106" i="7"/>
  <c r="BT142" i="7"/>
  <c r="BT120" i="7"/>
  <c r="BT85" i="7"/>
  <c r="BW7" i="7" s="1"/>
  <c r="BT145" i="7"/>
  <c r="BT92" i="7"/>
  <c r="BT126" i="7"/>
  <c r="BT139" i="7"/>
  <c r="BT157" i="7"/>
  <c r="BT155" i="7"/>
  <c r="BT134" i="7"/>
  <c r="BT151" i="7"/>
  <c r="BT123" i="7"/>
  <c r="BT135" i="7"/>
  <c r="BT152" i="7"/>
  <c r="BT138" i="7"/>
  <c r="BT86" i="7"/>
  <c r="BT105" i="7"/>
  <c r="BT158" i="7"/>
  <c r="BT99" i="7"/>
  <c r="BT153" i="7"/>
  <c r="BT109" i="7"/>
  <c r="BT149" i="7"/>
  <c r="BT102" i="7"/>
  <c r="BT93" i="7"/>
  <c r="BT110" i="7"/>
  <c r="BT122" i="7"/>
  <c r="BT146" i="7"/>
  <c r="BT128" i="7"/>
  <c r="BT156" i="7"/>
  <c r="BT87" i="7"/>
  <c r="BT103" i="7"/>
  <c r="BT160" i="7"/>
  <c r="BT124" i="7"/>
  <c r="BT148" i="7"/>
  <c r="BT136" i="7"/>
  <c r="BT91" i="7"/>
  <c r="BT150" i="7"/>
  <c r="BT125" i="7"/>
  <c r="BT104" i="7"/>
  <c r="BT162" i="7"/>
  <c r="BT132" i="7"/>
  <c r="BT130" i="7"/>
  <c r="BT118" i="7"/>
  <c r="BT159" i="7"/>
  <c r="BT131" i="7"/>
  <c r="BT101" i="7"/>
  <c r="BT129" i="7"/>
  <c r="BT147" i="7"/>
  <c r="BT100" i="7"/>
  <c r="BT97" i="7"/>
  <c r="BT119" i="7"/>
  <c r="BT143" i="7"/>
  <c r="BT133" i="7"/>
  <c r="BT95" i="7"/>
  <c r="BT113" i="7"/>
  <c r="BT89" i="7"/>
  <c r="BT121" i="7"/>
  <c r="BT98" i="7"/>
  <c r="BT90" i="7"/>
  <c r="BT94" i="7"/>
  <c r="BT111" i="7"/>
  <c r="BT84" i="7"/>
  <c r="BW164" i="7" l="1"/>
  <c r="BW185" i="7"/>
  <c r="BW197" i="7"/>
  <c r="BW183" i="7"/>
  <c r="BW178" i="7"/>
  <c r="BW198" i="7"/>
  <c r="BW174" i="7"/>
  <c r="BW167" i="7"/>
  <c r="BW195" i="7"/>
  <c r="BW169" i="7"/>
  <c r="BW193" i="7"/>
  <c r="BW168" i="7"/>
  <c r="BW182" i="7"/>
  <c r="BW188" i="7"/>
  <c r="BW179" i="7"/>
  <c r="BW189" i="7"/>
  <c r="BW186" i="7"/>
  <c r="BW190" i="7"/>
  <c r="BW170" i="7"/>
  <c r="BW192" i="7"/>
  <c r="BW176" i="7"/>
  <c r="BW196" i="7"/>
  <c r="BW194" i="7"/>
  <c r="BW181" i="7"/>
  <c r="BW173" i="7"/>
  <c r="BW163" i="7"/>
  <c r="BW175" i="7"/>
  <c r="BW166" i="7"/>
  <c r="BW165" i="7"/>
  <c r="BW171" i="7"/>
  <c r="BW180" i="7"/>
  <c r="BW172" i="7"/>
  <c r="BW191" i="7"/>
  <c r="BW187" i="7"/>
  <c r="BW184" i="7"/>
  <c r="BW177" i="7"/>
  <c r="BW132" i="7"/>
  <c r="BW146" i="7"/>
  <c r="BW124" i="7"/>
  <c r="BW123" i="7"/>
  <c r="BW98" i="7"/>
  <c r="BW104" i="7"/>
  <c r="BW113" i="7"/>
  <c r="BW108" i="7"/>
  <c r="BW152" i="7"/>
  <c r="BW105" i="7"/>
  <c r="BW125" i="7"/>
  <c r="BW100" i="7"/>
  <c r="BW134" i="7"/>
  <c r="BW145" i="7"/>
  <c r="BW126" i="7"/>
  <c r="BW138" i="7"/>
  <c r="BW156" i="7"/>
  <c r="BW133" i="7"/>
  <c r="BW116" i="7"/>
  <c r="BW89" i="7"/>
  <c r="BW128" i="7"/>
  <c r="BW119" i="7"/>
  <c r="BW135" i="7"/>
  <c r="BW84" i="7"/>
  <c r="BW151" i="7"/>
  <c r="BW161" i="7"/>
  <c r="BW96" i="7"/>
  <c r="BW162" i="7"/>
  <c r="BW106" i="7"/>
  <c r="BW118" i="7"/>
  <c r="BW129" i="7"/>
  <c r="BW95" i="7"/>
  <c r="BW85" i="7"/>
  <c r="BZ7" i="7" s="1"/>
  <c r="BW130" i="7"/>
  <c r="BW131" i="7"/>
  <c r="BW111" i="7"/>
  <c r="BW103" i="7"/>
  <c r="BW153" i="7"/>
  <c r="BW144" i="7"/>
  <c r="BW115" i="7"/>
  <c r="BW122" i="7"/>
  <c r="BW121" i="7"/>
  <c r="BW159" i="7"/>
  <c r="BW149" i="7"/>
  <c r="BW140" i="7"/>
  <c r="BW107" i="7"/>
  <c r="BW160" i="7"/>
  <c r="BW147" i="7"/>
  <c r="BW136" i="7"/>
  <c r="BW155" i="7"/>
  <c r="BW91" i="7"/>
  <c r="BW158" i="7"/>
  <c r="BW97" i="7"/>
  <c r="BW102" i="7"/>
  <c r="BW120" i="7"/>
  <c r="BW99" i="7"/>
  <c r="BW139" i="7"/>
  <c r="BW141" i="7"/>
  <c r="BW142" i="7"/>
  <c r="BW112" i="7"/>
  <c r="BW127" i="7"/>
  <c r="BW143" i="7"/>
  <c r="BW148" i="7"/>
  <c r="BW101" i="7"/>
  <c r="BW94" i="7"/>
  <c r="BW110" i="7"/>
  <c r="BW93" i="7"/>
  <c r="BW117" i="7"/>
  <c r="BW157" i="7"/>
  <c r="BW86" i="7"/>
  <c r="BW92" i="7"/>
  <c r="BW87" i="7"/>
  <c r="BW114" i="7"/>
  <c r="BW154" i="7"/>
  <c r="BW90" i="7"/>
  <c r="BW83" i="7"/>
  <c r="BW137" i="7"/>
  <c r="BW88" i="7"/>
  <c r="BW150" i="7"/>
  <c r="BW109" i="7"/>
  <c r="BZ172" i="7" l="1"/>
  <c r="BZ178" i="7"/>
  <c r="BZ164" i="7"/>
  <c r="BZ186" i="7"/>
  <c r="BZ179" i="7"/>
  <c r="BZ169" i="7"/>
  <c r="BZ163" i="7"/>
  <c r="BZ185" i="7"/>
  <c r="BZ190" i="7"/>
  <c r="BZ176" i="7"/>
  <c r="BZ175" i="7"/>
  <c r="BZ180" i="7"/>
  <c r="BZ192" i="7"/>
  <c r="BZ195" i="7"/>
  <c r="BZ193" i="7"/>
  <c r="BZ197" i="7"/>
  <c r="BZ177" i="7"/>
  <c r="BZ189" i="7"/>
  <c r="BZ170" i="7"/>
  <c r="BZ174" i="7"/>
  <c r="BZ182" i="7"/>
  <c r="BZ166" i="7"/>
  <c r="BZ168" i="7"/>
  <c r="BZ196" i="7"/>
  <c r="BZ198" i="7"/>
  <c r="BZ187" i="7"/>
  <c r="BZ181" i="7"/>
  <c r="BZ183" i="7"/>
  <c r="BZ188" i="7"/>
  <c r="BZ167" i="7"/>
  <c r="BZ165" i="7"/>
  <c r="BZ184" i="7"/>
  <c r="BZ173" i="7"/>
  <c r="BZ171" i="7"/>
  <c r="BZ191" i="7"/>
  <c r="BZ194" i="7"/>
  <c r="BZ127" i="7"/>
  <c r="BZ137" i="7"/>
  <c r="BZ95" i="7"/>
  <c r="BZ117" i="7"/>
  <c r="BZ114" i="7"/>
  <c r="BZ88" i="7"/>
  <c r="BZ131" i="7"/>
  <c r="BZ108" i="7"/>
  <c r="BZ93" i="7"/>
  <c r="BZ161" i="7"/>
  <c r="BZ109" i="7"/>
  <c r="BZ106" i="7"/>
  <c r="BZ101" i="7"/>
  <c r="BZ162" i="7"/>
  <c r="BZ126" i="7"/>
  <c r="BZ87" i="7"/>
  <c r="BZ104" i="7"/>
  <c r="BZ89" i="7"/>
  <c r="BZ147" i="7"/>
  <c r="BZ159" i="7"/>
  <c r="BZ124" i="7"/>
  <c r="BZ144" i="7"/>
  <c r="BZ123" i="7"/>
  <c r="BZ102" i="7"/>
  <c r="BZ116" i="7"/>
  <c r="BZ130" i="7"/>
  <c r="BZ113" i="7"/>
  <c r="BZ100" i="7"/>
  <c r="BZ146" i="7"/>
  <c r="BZ155" i="7"/>
  <c r="BZ139" i="7"/>
  <c r="BZ94" i="7"/>
  <c r="BZ153" i="7"/>
  <c r="BZ115" i="7"/>
  <c r="BZ118" i="7"/>
  <c r="BZ98" i="7"/>
  <c r="BZ138" i="7"/>
  <c r="BZ103" i="7"/>
  <c r="BZ120" i="7"/>
  <c r="BZ140" i="7"/>
  <c r="BZ135" i="7"/>
  <c r="BZ145" i="7"/>
  <c r="BZ141" i="7"/>
  <c r="BZ121" i="7"/>
  <c r="BZ105" i="7"/>
  <c r="BZ129" i="7"/>
  <c r="BZ107" i="7"/>
  <c r="BZ125" i="7"/>
  <c r="BZ92" i="7"/>
  <c r="BZ156" i="7"/>
  <c r="BZ99" i="7"/>
  <c r="BZ142" i="7"/>
  <c r="BZ128" i="7"/>
  <c r="BZ96" i="7"/>
  <c r="BZ133" i="7"/>
  <c r="BZ148" i="7"/>
  <c r="BZ90" i="7"/>
  <c r="BZ158" i="7"/>
  <c r="BZ85" i="7"/>
  <c r="CC7" i="7" s="1"/>
  <c r="BZ134" i="7"/>
  <c r="BZ110" i="7"/>
  <c r="BZ154" i="7"/>
  <c r="BZ150" i="7"/>
  <c r="BZ91" i="7"/>
  <c r="BZ132" i="7"/>
  <c r="BZ160" i="7"/>
  <c r="BZ122" i="7"/>
  <c r="BZ149" i="7"/>
  <c r="BZ111" i="7"/>
  <c r="BZ143" i="7"/>
  <c r="BZ136" i="7"/>
  <c r="BZ151" i="7"/>
  <c r="BZ84" i="7"/>
  <c r="BZ97" i="7"/>
  <c r="BZ157" i="7"/>
  <c r="BZ152" i="7"/>
  <c r="BZ86" i="7"/>
  <c r="BZ112" i="7"/>
  <c r="BZ119" i="7"/>
  <c r="BZ83" i="7"/>
  <c r="CC196" i="7" l="1"/>
  <c r="CC198" i="7"/>
  <c r="CC190" i="7"/>
  <c r="CC197" i="7"/>
  <c r="CC171" i="7"/>
  <c r="CC167" i="7"/>
  <c r="CC193" i="7"/>
  <c r="CC175" i="7"/>
  <c r="CC191" i="7"/>
  <c r="CC176" i="7"/>
  <c r="CC177" i="7"/>
  <c r="CC181" i="7"/>
  <c r="CC166" i="7"/>
  <c r="CC184" i="7"/>
  <c r="CC189" i="7"/>
  <c r="CC185" i="7"/>
  <c r="CC165" i="7"/>
  <c r="CC163" i="7"/>
  <c r="CC174" i="7"/>
  <c r="CC187" i="7"/>
  <c r="CC195" i="7"/>
  <c r="CC188" i="7"/>
  <c r="CC182" i="7"/>
  <c r="CC170" i="7"/>
  <c r="CC183" i="7"/>
  <c r="CC169" i="7"/>
  <c r="CC172" i="7"/>
  <c r="CC180" i="7"/>
  <c r="CC192" i="7"/>
  <c r="CC164" i="7"/>
  <c r="CC178" i="7"/>
  <c r="CC168" i="7"/>
  <c r="CC194" i="7"/>
  <c r="CC173" i="7"/>
  <c r="CC186" i="7"/>
  <c r="CC179" i="7"/>
  <c r="CC110" i="7"/>
  <c r="CC120" i="7"/>
  <c r="CC113" i="7"/>
  <c r="CC88" i="7"/>
  <c r="CC123" i="7"/>
  <c r="CC97" i="7"/>
  <c r="CC135" i="7"/>
  <c r="CC156" i="7"/>
  <c r="CC153" i="7"/>
  <c r="CC161" i="7"/>
  <c r="CC131" i="7"/>
  <c r="CC118" i="7"/>
  <c r="CC154" i="7"/>
  <c r="CC145" i="7"/>
  <c r="CC101" i="7"/>
  <c r="CC89" i="7"/>
  <c r="CC98" i="7"/>
  <c r="CC85" i="7"/>
  <c r="CC159" i="7"/>
  <c r="CC147" i="7"/>
  <c r="CC128" i="7"/>
  <c r="CC149" i="7"/>
  <c r="CC117" i="7"/>
  <c r="CC139" i="7"/>
  <c r="CC108" i="7"/>
  <c r="CC99" i="7"/>
  <c r="CC140" i="7"/>
  <c r="CC133" i="7"/>
  <c r="CC144" i="7"/>
  <c r="CC96" i="7"/>
  <c r="CC152" i="7"/>
  <c r="CC115" i="7"/>
  <c r="CC104" i="7"/>
  <c r="CC105" i="7"/>
  <c r="CC93" i="7"/>
  <c r="CC127" i="7"/>
  <c r="CC130" i="7"/>
  <c r="CC160" i="7"/>
  <c r="CC111" i="7"/>
  <c r="CC94" i="7"/>
  <c r="CC137" i="7"/>
  <c r="CC136" i="7"/>
  <c r="CC138" i="7"/>
  <c r="CC162" i="7"/>
  <c r="CC92" i="7"/>
  <c r="CC86" i="7"/>
  <c r="CC114" i="7"/>
  <c r="CC146" i="7"/>
  <c r="CC157" i="7"/>
  <c r="CC100" i="7"/>
  <c r="CC126" i="7"/>
  <c r="CC124" i="7"/>
  <c r="CC119" i="7"/>
  <c r="CC155" i="7"/>
  <c r="CC121" i="7"/>
  <c r="CC125" i="7"/>
  <c r="CC83" i="7"/>
  <c r="CC122" i="7"/>
  <c r="CC102" i="7"/>
  <c r="CC150" i="7"/>
  <c r="CC112" i="7"/>
  <c r="CC106" i="7"/>
  <c r="CC134" i="7"/>
  <c r="CC107" i="7"/>
  <c r="CC103" i="7"/>
  <c r="CC132" i="7"/>
  <c r="CC143" i="7"/>
  <c r="CC142" i="7"/>
  <c r="CC141" i="7"/>
  <c r="CC91" i="7"/>
  <c r="CC87" i="7"/>
  <c r="CC116" i="7"/>
  <c r="CC129" i="7"/>
  <c r="CC90" i="7"/>
  <c r="CC158" i="7"/>
  <c r="CC95" i="7"/>
  <c r="CC151" i="7"/>
  <c r="CC84" i="7"/>
  <c r="CC148" i="7"/>
  <c r="CC109" i="7"/>
  <c r="A19" i="8" l="1"/>
  <c r="CA204" i="7"/>
  <c r="BX204" i="7"/>
  <c r="BU204" i="7"/>
  <c r="BR204" i="7"/>
  <c r="BO204" i="7"/>
  <c r="BL204" i="7"/>
  <c r="BI204" i="7"/>
  <c r="BF204" i="7"/>
  <c r="BC204" i="7"/>
  <c r="AZ204" i="7"/>
  <c r="AW204" i="7"/>
  <c r="AT204" i="7"/>
  <c r="AQ204" i="7"/>
  <c r="AN204" i="7"/>
  <c r="AK204" i="7"/>
  <c r="AH204" i="7"/>
  <c r="AE204" i="7"/>
  <c r="AB204" i="7"/>
  <c r="Y204" i="7"/>
  <c r="V204" i="7"/>
  <c r="S204" i="7"/>
  <c r="P204" i="7"/>
  <c r="M204" i="7"/>
  <c r="J204" i="7"/>
  <c r="I204" i="7"/>
  <c r="BB200" i="7"/>
  <c r="BE200" i="7" s="1"/>
  <c r="BH200" i="7" s="1"/>
  <c r="BK200" i="7" s="1"/>
  <c r="BN200" i="7" s="1"/>
  <c r="BQ200" i="7" s="1"/>
  <c r="BT200" i="7" s="1"/>
  <c r="BW200" i="7" s="1"/>
  <c r="BZ200" i="7" s="1"/>
  <c r="CC200" i="7" s="1"/>
  <c r="O200" i="7"/>
  <c r="R200" i="7" s="1"/>
  <c r="U200" i="7" s="1"/>
  <c r="X200" i="7" s="1"/>
  <c r="AA200" i="7" s="1"/>
  <c r="AD200" i="7" s="1"/>
  <c r="AG200" i="7" s="1"/>
  <c r="AJ200" i="7" s="1"/>
  <c r="AM200" i="7" s="1"/>
  <c r="AP200" i="7" s="1"/>
  <c r="AS200" i="7" s="1"/>
  <c r="AV200" i="7" s="1"/>
  <c r="AY200" i="7" s="1"/>
  <c r="CE199" i="7"/>
  <c r="BA204" i="7"/>
  <c r="AZ1" i="7"/>
  <c r="BC1" i="7" s="1"/>
  <c r="BF1" i="7" s="1"/>
  <c r="BI1" i="7" s="1"/>
  <c r="BL1" i="7" s="1"/>
  <c r="BO1" i="7" s="1"/>
  <c r="BR1" i="7" s="1"/>
  <c r="BU1" i="7" s="1"/>
  <c r="BX1" i="7" s="1"/>
  <c r="CA1" i="7" s="1"/>
  <c r="J1" i="7"/>
  <c r="G1" i="7"/>
  <c r="G25" i="6"/>
  <c r="G24" i="6"/>
  <c r="G23" i="6"/>
  <c r="G22" i="6"/>
  <c r="G21" i="6"/>
  <c r="G20" i="6"/>
  <c r="G19" i="6"/>
  <c r="G18" i="6"/>
  <c r="G17" i="6"/>
  <c r="G16" i="6"/>
  <c r="G15" i="6"/>
  <c r="G14" i="6"/>
  <c r="M1" i="7" l="1"/>
  <c r="E20" i="8"/>
  <c r="B6" i="9"/>
  <c r="C4" i="9" s="1"/>
  <c r="K204" i="7"/>
  <c r="C2" i="9" l="1"/>
  <c r="E37" i="8"/>
  <c r="E36" i="8"/>
  <c r="E31" i="8"/>
  <c r="E35" i="8"/>
  <c r="E24" i="8"/>
  <c r="E27" i="8" s="1"/>
  <c r="P1" i="7"/>
  <c r="F20" i="8"/>
  <c r="C3" i="9"/>
  <c r="C5" i="9"/>
  <c r="N204" i="7"/>
  <c r="BD204" i="7"/>
  <c r="E2" i="6"/>
  <c r="D2" i="6" s="1"/>
  <c r="D3" i="6"/>
  <c r="I6" i="6" s="1"/>
  <c r="C6" i="9" l="1"/>
  <c r="E25" i="8"/>
  <c r="F37" i="8"/>
  <c r="F36" i="8"/>
  <c r="F31" i="8"/>
  <c r="F35" i="8"/>
  <c r="F24" i="8"/>
  <c r="E28" i="8"/>
  <c r="S1" i="7"/>
  <c r="G20" i="8"/>
  <c r="BG204" i="7"/>
  <c r="Q204" i="7"/>
  <c r="P6" i="6"/>
  <c r="I25" i="6"/>
  <c r="I22" i="6"/>
  <c r="I21" i="6"/>
  <c r="I19" i="6"/>
  <c r="I17" i="6"/>
  <c r="I16" i="6"/>
  <c r="I15" i="6"/>
  <c r="J6" i="6"/>
  <c r="I23" i="6"/>
  <c r="I24" i="6"/>
  <c r="I20" i="6"/>
  <c r="I18" i="6"/>
  <c r="I14" i="6"/>
  <c r="V1" i="7" l="1"/>
  <c r="H20" i="8"/>
  <c r="F25" i="8"/>
  <c r="F27" i="8"/>
  <c r="F28" i="8" s="1"/>
  <c r="G36" i="8"/>
  <c r="G31" i="8"/>
  <c r="G35" i="8"/>
  <c r="G24" i="8"/>
  <c r="G27" i="8" s="1"/>
  <c r="G37" i="8"/>
  <c r="T204" i="7"/>
  <c r="BJ204" i="7"/>
  <c r="P22" i="6"/>
  <c r="P24" i="6"/>
  <c r="P20" i="6"/>
  <c r="P14" i="6"/>
  <c r="P15" i="6"/>
  <c r="P18" i="6"/>
  <c r="Q6" i="6"/>
  <c r="P25" i="6"/>
  <c r="P21" i="6"/>
  <c r="P23" i="6"/>
  <c r="P19" i="6"/>
  <c r="P16" i="6"/>
  <c r="P17" i="6"/>
  <c r="J15" i="6"/>
  <c r="J18" i="6"/>
  <c r="J23" i="6"/>
  <c r="J22" i="6"/>
  <c r="J24" i="6"/>
  <c r="J19" i="6"/>
  <c r="J16" i="6"/>
  <c r="J17" i="6"/>
  <c r="J14" i="6"/>
  <c r="K6" i="6"/>
  <c r="J25" i="6"/>
  <c r="J21" i="6"/>
  <c r="J20" i="6"/>
  <c r="G28" i="8" l="1"/>
  <c r="G25" i="8"/>
  <c r="Y1" i="7"/>
  <c r="I20" i="8"/>
  <c r="H36" i="8"/>
  <c r="H31" i="8"/>
  <c r="H35" i="8"/>
  <c r="H24" i="8"/>
  <c r="H37" i="8"/>
  <c r="W204" i="7"/>
  <c r="BM204" i="7"/>
  <c r="Q18" i="6"/>
  <c r="R6" i="6"/>
  <c r="Q25" i="6"/>
  <c r="Q22" i="6"/>
  <c r="Q21" i="6"/>
  <c r="Q19" i="6"/>
  <c r="Q15" i="6"/>
  <c r="Q17" i="6"/>
  <c r="Q23" i="6"/>
  <c r="Q24" i="6"/>
  <c r="Q20" i="6"/>
  <c r="Q14" i="6"/>
  <c r="Q16" i="6"/>
  <c r="K16" i="6"/>
  <c r="K15" i="6"/>
  <c r="K25" i="6"/>
  <c r="K20" i="6"/>
  <c r="K23" i="6"/>
  <c r="K19" i="6"/>
  <c r="K17" i="6"/>
  <c r="K18" i="6"/>
  <c r="K14" i="6"/>
  <c r="K24" i="6"/>
  <c r="K22" i="6"/>
  <c r="L6" i="6"/>
  <c r="K21" i="6"/>
  <c r="H25" i="8" l="1"/>
  <c r="H27" i="8"/>
  <c r="H28" i="8" s="1"/>
  <c r="AB1" i="7"/>
  <c r="J20" i="8"/>
  <c r="I35" i="8"/>
  <c r="I24" i="8"/>
  <c r="I37" i="8"/>
  <c r="I31" i="8"/>
  <c r="I36" i="8"/>
  <c r="Z204" i="7"/>
  <c r="BP204" i="7"/>
  <c r="R22" i="6"/>
  <c r="R24" i="6"/>
  <c r="R20" i="6"/>
  <c r="R15" i="6"/>
  <c r="R18" i="6"/>
  <c r="S6" i="6"/>
  <c r="R25" i="6"/>
  <c r="R21" i="6"/>
  <c r="R23" i="6"/>
  <c r="R19" i="6"/>
  <c r="R16" i="6"/>
  <c r="R17" i="6"/>
  <c r="R14" i="6"/>
  <c r="L18" i="6"/>
  <c r="L16" i="6"/>
  <c r="M6" i="6"/>
  <c r="L22" i="6"/>
  <c r="L24" i="6"/>
  <c r="L20" i="6"/>
  <c r="L15" i="6"/>
  <c r="L14" i="6"/>
  <c r="L17" i="6"/>
  <c r="L25" i="6"/>
  <c r="L21" i="6"/>
  <c r="L23" i="6"/>
  <c r="L19" i="6"/>
  <c r="I25" i="8" l="1"/>
  <c r="AE1" i="7"/>
  <c r="K20" i="8"/>
  <c r="J35" i="8"/>
  <c r="J24" i="8"/>
  <c r="J37" i="8"/>
  <c r="J36" i="8"/>
  <c r="J31" i="8"/>
  <c r="I27" i="8"/>
  <c r="I28" i="8" s="1"/>
  <c r="BS204" i="7"/>
  <c r="AC204" i="7"/>
  <c r="M18" i="6"/>
  <c r="M17" i="6"/>
  <c r="M24" i="6"/>
  <c r="M25" i="6"/>
  <c r="M23" i="6"/>
  <c r="N6" i="6"/>
  <c r="O6" i="6" s="1"/>
  <c r="M14" i="6"/>
  <c r="M15" i="6"/>
  <c r="M16" i="6"/>
  <c r="M21" i="6"/>
  <c r="M20" i="6"/>
  <c r="M22" i="6"/>
  <c r="M19" i="6"/>
  <c r="S18" i="6"/>
  <c r="T6" i="6"/>
  <c r="S25" i="6"/>
  <c r="S24" i="6"/>
  <c r="S21" i="6"/>
  <c r="S19" i="6"/>
  <c r="S17" i="6"/>
  <c r="S15" i="6"/>
  <c r="S16" i="6"/>
  <c r="S22" i="6"/>
  <c r="S23" i="6"/>
  <c r="S20" i="6"/>
  <c r="S14" i="6"/>
  <c r="J25" i="8" l="1"/>
  <c r="J27" i="8"/>
  <c r="J28" i="8" s="1"/>
  <c r="K37" i="8"/>
  <c r="K36" i="8"/>
  <c r="K31" i="8"/>
  <c r="K24" i="8"/>
  <c r="K35" i="8"/>
  <c r="AH1" i="7"/>
  <c r="L20" i="8"/>
  <c r="AF204" i="7"/>
  <c r="BV204" i="7"/>
  <c r="T23" i="6"/>
  <c r="W23" i="6" s="1"/>
  <c r="T21" i="6"/>
  <c r="W21" i="6" s="1"/>
  <c r="T20" i="6"/>
  <c r="W20" i="6" s="1"/>
  <c r="U6" i="6"/>
  <c r="V6" i="6" s="1"/>
  <c r="T16" i="6"/>
  <c r="W16" i="6" s="1"/>
  <c r="W11" i="6"/>
  <c r="W8" i="6"/>
  <c r="W10" i="6"/>
  <c r="W13" i="6"/>
  <c r="T17" i="6"/>
  <c r="W17" i="6" s="1"/>
  <c r="T18" i="6"/>
  <c r="W18" i="6" s="1"/>
  <c r="T25" i="6"/>
  <c r="W25" i="6" s="1"/>
  <c r="T22" i="6"/>
  <c r="W22" i="6" s="1"/>
  <c r="T24" i="6"/>
  <c r="W24" i="6" s="1"/>
  <c r="T19" i="6"/>
  <c r="W19" i="6" s="1"/>
  <c r="T14" i="6"/>
  <c r="W14" i="6" s="1"/>
  <c r="W12" i="6"/>
  <c r="T15" i="6"/>
  <c r="W15" i="6" s="1"/>
  <c r="W9" i="6"/>
  <c r="AK1" i="7" l="1"/>
  <c r="M20" i="8"/>
  <c r="L37" i="8"/>
  <c r="L36" i="8"/>
  <c r="L31" i="8"/>
  <c r="L35" i="8"/>
  <c r="L24" i="8"/>
  <c r="K25" i="8"/>
  <c r="K27" i="8"/>
  <c r="K28" i="8" s="1"/>
  <c r="AI204" i="7"/>
  <c r="BY204" i="7"/>
  <c r="C9" i="6"/>
  <c r="L25" i="8" l="1"/>
  <c r="L27" i="8"/>
  <c r="L28" i="8" s="1"/>
  <c r="M36" i="8"/>
  <c r="M31" i="8"/>
  <c r="M35" i="8"/>
  <c r="M24" i="8"/>
  <c r="M37" i="8"/>
  <c r="AN1" i="7"/>
  <c r="N20" i="8"/>
  <c r="CB204" i="7"/>
  <c r="AL204" i="7"/>
  <c r="M25" i="8" l="1"/>
  <c r="M27" i="8"/>
  <c r="M28" i="8" s="1"/>
  <c r="N36" i="8"/>
  <c r="N31" i="8"/>
  <c r="N35" i="8"/>
  <c r="N24" i="8"/>
  <c r="N37" i="8"/>
  <c r="AQ1" i="7"/>
  <c r="O20" i="8"/>
  <c r="AO204" i="7"/>
  <c r="N25" i="8" l="1"/>
  <c r="N27" i="8"/>
  <c r="N28" i="8" s="1"/>
  <c r="O35" i="8"/>
  <c r="O24" i="8"/>
  <c r="O27" i="8" s="1"/>
  <c r="O37" i="8"/>
  <c r="O36" i="8"/>
  <c r="O31" i="8"/>
  <c r="AT1" i="7"/>
  <c r="P20" i="8"/>
  <c r="AR204" i="7"/>
  <c r="O28" i="8" l="1"/>
  <c r="O25" i="8"/>
  <c r="P35" i="8"/>
  <c r="P24" i="8"/>
  <c r="P27" i="8" s="1"/>
  <c r="P37" i="8"/>
  <c r="P36" i="8"/>
  <c r="P31" i="8"/>
  <c r="AW1" i="7"/>
  <c r="R20" i="8" s="1"/>
  <c r="Q20" i="8"/>
  <c r="C8" i="6"/>
  <c r="C10" i="6" s="1"/>
  <c r="AU204" i="7"/>
  <c r="CC204" i="7"/>
  <c r="P28" i="8" l="1"/>
  <c r="Q37" i="8"/>
  <c r="Q36" i="8"/>
  <c r="Q31" i="8"/>
  <c r="Q35" i="8"/>
  <c r="Q24" i="8"/>
  <c r="P25" i="8"/>
  <c r="BB204" i="7"/>
  <c r="R36" i="8"/>
  <c r="AX204" i="7"/>
  <c r="R24" i="8" l="1"/>
  <c r="R27" i="8" s="1"/>
  <c r="R28" i="8" s="1"/>
  <c r="Q25" i="8"/>
  <c r="Q27" i="8"/>
  <c r="Q28" i="8" s="1"/>
  <c r="R37" i="8"/>
  <c r="R35" i="8"/>
  <c r="R31" i="8"/>
  <c r="BE204" i="7"/>
  <c r="R25" i="8" l="1"/>
  <c r="L33" i="8"/>
  <c r="F33" i="8"/>
  <c r="Q33" i="8"/>
  <c r="G33" i="8"/>
  <c r="M33" i="8"/>
  <c r="K33" i="8"/>
  <c r="R33" i="8"/>
  <c r="J33" i="8"/>
  <c r="N33" i="8"/>
  <c r="H33" i="8"/>
  <c r="O33" i="8"/>
  <c r="P33" i="8"/>
  <c r="E33" i="8"/>
  <c r="I33" i="8"/>
  <c r="BH204" i="7"/>
  <c r="K29" i="8" l="1"/>
  <c r="K32" i="8"/>
  <c r="M29" i="8"/>
  <c r="M32" i="8"/>
  <c r="H29" i="8"/>
  <c r="H32" i="8"/>
  <c r="G29" i="8"/>
  <c r="G32" i="8"/>
  <c r="O29" i="8"/>
  <c r="O32" i="8"/>
  <c r="Q29" i="8"/>
  <c r="Q32" i="8"/>
  <c r="J29" i="8"/>
  <c r="J32" i="8"/>
  <c r="F29" i="8"/>
  <c r="F32" i="8"/>
  <c r="P29" i="8"/>
  <c r="P32" i="8"/>
  <c r="N29" i="8"/>
  <c r="N32" i="8"/>
  <c r="I29" i="8"/>
  <c r="I32" i="8"/>
  <c r="E29" i="8"/>
  <c r="E32" i="8"/>
  <c r="R29" i="8"/>
  <c r="R32" i="8"/>
  <c r="L29" i="8"/>
  <c r="L32" i="8"/>
  <c r="BK204" i="7"/>
  <c r="BN204" i="7" l="1"/>
  <c r="BQ204" i="7" l="1"/>
  <c r="BT204" i="7" l="1"/>
  <c r="BW204" i="7" l="1"/>
  <c r="BZ204" i="7"/>
  <c r="B33" i="9" l="1"/>
  <c r="C28" i="9" s="1"/>
  <c r="C33" i="9" s="1"/>
  <c r="C32" i="9" l="1"/>
  <c r="C30" i="9"/>
  <c r="C31" i="9"/>
  <c r="C29" i="9"/>
  <c r="B25" i="9"/>
  <c r="C18" i="9" s="1"/>
  <c r="C24" i="9" l="1"/>
  <c r="C10" i="9"/>
  <c r="C11" i="9"/>
  <c r="C17" i="9"/>
  <c r="C15" i="9"/>
  <c r="C21" i="9"/>
  <c r="C9" i="9"/>
  <c r="C12" i="9"/>
  <c r="C19" i="9"/>
  <c r="C13" i="9"/>
  <c r="C20" i="9"/>
  <c r="C14" i="9"/>
  <c r="C22" i="9"/>
  <c r="C16" i="9"/>
  <c r="C23" i="9"/>
  <c r="C25"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 Waletzky</author>
  </authors>
  <commentList>
    <comment ref="E41" authorId="0" shapeId="0" xr:uid="{3462991D-80EB-4FF6-A05A-BD8E97267E9A}">
      <text>
        <r>
          <rPr>
            <sz val="8"/>
            <color indexed="81"/>
            <rFont val="Tahoma"/>
            <family val="2"/>
          </rPr>
          <t>Negative number to go back from today's date; positive number to go forward from today's date.</t>
        </r>
      </text>
    </comment>
  </commentList>
</comments>
</file>

<file path=xl/sharedStrings.xml><?xml version="1.0" encoding="utf-8"?>
<sst xmlns="http://schemas.openxmlformats.org/spreadsheetml/2006/main" count="1402" uniqueCount="525">
  <si>
    <t>Status</t>
  </si>
  <si>
    <t>Pri</t>
  </si>
  <si>
    <t>Left</t>
  </si>
  <si>
    <t>Total Hours Worked To Date</t>
  </si>
  <si>
    <t>Average Hours Worked Per Day</t>
  </si>
  <si>
    <t>Estimated Completion Date (Burndown)</t>
  </si>
  <si>
    <t>Count of Workitems In Progress</t>
  </si>
  <si>
    <t>Count of Workitems Complete</t>
  </si>
  <si>
    <t>Total Hours Remaining</t>
  </si>
  <si>
    <t>Day</t>
  </si>
  <si>
    <t>Count of Workitems Pending</t>
  </si>
  <si>
    <t>Time Spent Mask</t>
  </si>
  <si>
    <t>Spent</t>
  </si>
  <si>
    <t>Time Left Mask</t>
  </si>
  <si>
    <t>Status Mask</t>
  </si>
  <si>
    <t>BurndownColumns</t>
  </si>
  <si>
    <t>StatusColumn</t>
  </si>
  <si>
    <t>Workbook-Wide Constants</t>
  </si>
  <si>
    <t>HoursLeftColumn</t>
  </si>
  <si>
    <t>HoursSpentColumn</t>
  </si>
  <si>
    <t>Hours Worked Today</t>
  </si>
  <si>
    <t>Date</t>
  </si>
  <si>
    <t>Total Worked &amp; Remaining Hours</t>
  </si>
  <si>
    <t>Start Date</t>
  </si>
  <si>
    <t>Comments</t>
  </si>
  <si>
    <t>Workbook Settings</t>
  </si>
  <si>
    <t>SkipWeekends</t>
  </si>
  <si>
    <t>Task Hours Pending</t>
  </si>
  <si>
    <t>Task Hours In Progress</t>
  </si>
  <si>
    <t>Task Hours Complete</t>
  </si>
  <si>
    <t>Total Effort</t>
  </si>
  <si>
    <t>Estimated Completion Date (Task Completion)</t>
  </si>
  <si>
    <t>M</t>
  </si>
  <si>
    <t>S</t>
  </si>
  <si>
    <t>T</t>
  </si>
  <si>
    <t>W</t>
  </si>
  <si>
    <t>F</t>
  </si>
  <si>
    <t>Total Remaining Hours:</t>
  </si>
  <si>
    <t>Total Capacity in Hours:</t>
  </si>
  <si>
    <t>Variance in Hours:</t>
  </si>
  <si>
    <t>=</t>
  </si>
  <si>
    <t>Sprint Team</t>
  </si>
  <si>
    <t>Available Hours</t>
  </si>
  <si>
    <t>Sprint Start Date</t>
  </si>
  <si>
    <t>Current Date</t>
  </si>
  <si>
    <t>Scrum Team</t>
  </si>
  <si>
    <t>Assigned Hours</t>
  </si>
  <si>
    <t>Sprint Tracking Statistics</t>
  </si>
  <si>
    <t>.</t>
  </si>
  <si>
    <t>h</t>
  </si>
  <si>
    <t>v</t>
  </si>
  <si>
    <t>Vacation &amp; Public Holiday</t>
  </si>
  <si>
    <t>%age of time on Project</t>
  </si>
  <si>
    <t>OOF (Sick, Biz Travel etc.)</t>
  </si>
  <si>
    <t>Productive Hours =</t>
  </si>
  <si>
    <t>Sprint Days =</t>
  </si>
  <si>
    <t>Sprint Vision:</t>
  </si>
  <si>
    <t>Day 1</t>
  </si>
  <si>
    <t>Day 2</t>
  </si>
  <si>
    <t>Day 3</t>
  </si>
  <si>
    <t>Day 4</t>
  </si>
  <si>
    <t>Day 5</t>
  </si>
  <si>
    <t>Day 6</t>
  </si>
  <si>
    <t>Day 7</t>
  </si>
  <si>
    <t>Day 8</t>
  </si>
  <si>
    <t>Day 9</t>
  </si>
  <si>
    <t>Day 10</t>
  </si>
  <si>
    <t>Day 11</t>
  </si>
  <si>
    <t>Day 12</t>
  </si>
  <si>
    <t>Day 13</t>
  </si>
  <si>
    <t>Day 14</t>
  </si>
  <si>
    <t>Day 31</t>
  </si>
  <si>
    <t>Day 32</t>
  </si>
  <si>
    <t>Day 33</t>
  </si>
  <si>
    <t>Day 34</t>
  </si>
  <si>
    <t>Day 35</t>
  </si>
  <si>
    <t>Day 36</t>
  </si>
  <si>
    <t>Day 37</t>
  </si>
  <si>
    <t>Day 38</t>
  </si>
  <si>
    <t>Day 39</t>
  </si>
  <si>
    <t>Day 40</t>
  </si>
  <si>
    <t>Product Backlog Item or Group</t>
  </si>
  <si>
    <t>Work item
ID</t>
  </si>
  <si>
    <t>Sprint Work item Description</t>
  </si>
  <si>
    <t>Initial</t>
  </si>
  <si>
    <t>Totals</t>
  </si>
  <si>
    <t xml:space="preserve">(0=30 calendar days; 1=30 working days). Set to 1 to have dates skip over weekends (30 working day sprint, &gt;30 calendar day sprint). Do not switch after Sprint has started or data will be stored under wrong days </t>
  </si>
  <si>
    <t>DailyScrumDateModifier</t>
  </si>
  <si>
    <t>Number of days added to or subtracted from today's date to ensure the highlighted date column in the sprint worksheet corresponds to the day of the current daily Scrum meeting</t>
  </si>
  <si>
    <t>Alias</t>
  </si>
  <si>
    <t>IM Information</t>
  </si>
  <si>
    <t>Driver</t>
  </si>
  <si>
    <t>Phone</t>
  </si>
  <si>
    <t>Mobile</t>
  </si>
  <si>
    <t>Mobile Phone</t>
  </si>
  <si>
    <t>Primary Phone</t>
  </si>
  <si>
    <t>Name</t>
  </si>
  <si>
    <t>Instant Messaging</t>
  </si>
  <si>
    <t>Alternate Email</t>
  </si>
  <si>
    <t>Alt Email</t>
  </si>
  <si>
    <t>Worktype</t>
  </si>
  <si>
    <t>Deliverable Area</t>
  </si>
  <si>
    <t>Work Type Breakdown</t>
  </si>
  <si>
    <t>Feature</t>
  </si>
  <si>
    <t>Tax</t>
  </si>
  <si>
    <t>Precondition</t>
  </si>
  <si>
    <t>Spike</t>
  </si>
  <si>
    <t>Functional Breakdown</t>
  </si>
  <si>
    <t>Data Model</t>
  </si>
  <si>
    <t>Integration Model</t>
  </si>
  <si>
    <t>System Frameworks</t>
  </si>
  <si>
    <t>Data Conversions</t>
  </si>
  <si>
    <t>Security</t>
  </si>
  <si>
    <t>Cash Payment Tracking</t>
  </si>
  <si>
    <t>Views</t>
  </si>
  <si>
    <t>Lookups</t>
  </si>
  <si>
    <t>Detail screens</t>
  </si>
  <si>
    <t>Notifications</t>
  </si>
  <si>
    <t>Reports</t>
  </si>
  <si>
    <t>Installation Package</t>
  </si>
  <si>
    <t>Deployment</t>
  </si>
  <si>
    <t>Documentation</t>
  </si>
  <si>
    <t>Testing</t>
  </si>
  <si>
    <t>Project Mgt</t>
  </si>
  <si>
    <t>Postponed</t>
  </si>
  <si>
    <t>Work Item Status</t>
  </si>
  <si>
    <t>Total</t>
  </si>
  <si>
    <t>Complete</t>
  </si>
  <si>
    <t>In Progress</t>
  </si>
  <si>
    <t>Pending</t>
  </si>
  <si>
    <t>Cancelled</t>
  </si>
  <si>
    <t>Email</t>
  </si>
  <si>
    <t>Unassigned</t>
  </si>
  <si>
    <t>1</t>
  </si>
  <si>
    <t>2</t>
  </si>
  <si>
    <t>7.1.4</t>
  </si>
  <si>
    <t>=(@ÍNDICE(Burndown;LIN(G6)-LIN(G$3);MÍNIMO(HOJE()-SprintStart;29)*3+3))</t>
  </si>
  <si>
    <t>56A</t>
  </si>
  <si>
    <t>1.1.1</t>
  </si>
  <si>
    <t>1.1.2</t>
  </si>
  <si>
    <t>1.1.3</t>
  </si>
  <si>
    <t>1.1.4</t>
  </si>
  <si>
    <t>1.1.5</t>
  </si>
  <si>
    <t>1.1.6</t>
  </si>
  <si>
    <t>1.1.7</t>
  </si>
  <si>
    <t>1.1.7.1</t>
  </si>
  <si>
    <t>1.1.7.2</t>
  </si>
  <si>
    <t>1.2.1</t>
  </si>
  <si>
    <t>1.2.2</t>
  </si>
  <si>
    <t>1.2.3</t>
  </si>
  <si>
    <t>1.2.4</t>
  </si>
  <si>
    <t>1.2.5</t>
  </si>
  <si>
    <t>1.2.6</t>
  </si>
  <si>
    <t>1.2.7</t>
  </si>
  <si>
    <t>2.1.1</t>
  </si>
  <si>
    <t>2.1.2</t>
  </si>
  <si>
    <t>2.1.3</t>
  </si>
  <si>
    <t>2.1.4</t>
  </si>
  <si>
    <t>2.1.5</t>
  </si>
  <si>
    <t>2.1.6</t>
  </si>
  <si>
    <t>2.1.7</t>
  </si>
  <si>
    <t>2.2.1</t>
  </si>
  <si>
    <t>2.2.2</t>
  </si>
  <si>
    <t>2.2.3</t>
  </si>
  <si>
    <t>2.2.4</t>
  </si>
  <si>
    <t>2.2.5</t>
  </si>
  <si>
    <t>2.2.6</t>
  </si>
  <si>
    <t>2.2.7</t>
  </si>
  <si>
    <t>2.2.8</t>
  </si>
  <si>
    <t>3.1.1</t>
  </si>
  <si>
    <t>3.1.2</t>
  </si>
  <si>
    <t>3.1.3</t>
  </si>
  <si>
    <t>3.1.4</t>
  </si>
  <si>
    <t>3.1.5</t>
  </si>
  <si>
    <t>3.1.6</t>
  </si>
  <si>
    <t>3.1.7</t>
  </si>
  <si>
    <t>3.1.8</t>
  </si>
  <si>
    <t>3.1.9</t>
  </si>
  <si>
    <t>3.1.10</t>
  </si>
  <si>
    <t>3.2.1</t>
  </si>
  <si>
    <t>3.2.2</t>
  </si>
  <si>
    <t>3.2.3</t>
  </si>
  <si>
    <t>3.2.4</t>
  </si>
  <si>
    <t>3.2.5</t>
  </si>
  <si>
    <t>3.2.6</t>
  </si>
  <si>
    <t>3.2.7</t>
  </si>
  <si>
    <t>3.2.8</t>
  </si>
  <si>
    <t>3.2.9</t>
  </si>
  <si>
    <t>3.2.10</t>
  </si>
  <si>
    <t>3.2.11</t>
  </si>
  <si>
    <t>3.2.12</t>
  </si>
  <si>
    <t>4.1.1</t>
  </si>
  <si>
    <t>4.1.2</t>
  </si>
  <si>
    <t>4.1.3</t>
  </si>
  <si>
    <t>4.1.4</t>
  </si>
  <si>
    <t>4.1.5</t>
  </si>
  <si>
    <t>4.1.6</t>
  </si>
  <si>
    <t>4.1.8</t>
  </si>
  <si>
    <t>4.1.9</t>
  </si>
  <si>
    <t>4.1.10</t>
  </si>
  <si>
    <t>4.1.12</t>
  </si>
  <si>
    <t>5.1.1</t>
  </si>
  <si>
    <t>5.1.2</t>
  </si>
  <si>
    <t>5.1.3</t>
  </si>
  <si>
    <t>5.1.4</t>
  </si>
  <si>
    <t>5.1.5</t>
  </si>
  <si>
    <t>5.1.6</t>
  </si>
  <si>
    <t>5.1.7</t>
  </si>
  <si>
    <t>5.1.8</t>
  </si>
  <si>
    <t>5.1.9</t>
  </si>
  <si>
    <t>5.1.10</t>
  </si>
  <si>
    <t>5.1.11</t>
  </si>
  <si>
    <t>5.1.12</t>
  </si>
  <si>
    <t>5.1.13</t>
  </si>
  <si>
    <t>6.1.1</t>
  </si>
  <si>
    <t>6.1.12</t>
  </si>
  <si>
    <t>6.1.3</t>
  </si>
  <si>
    <t>6.1.4</t>
  </si>
  <si>
    <t>6.1.5</t>
  </si>
  <si>
    <t>6.1.6</t>
  </si>
  <si>
    <t>6.1.7</t>
  </si>
  <si>
    <t>6.1.8</t>
  </si>
  <si>
    <t>6.1.9</t>
  </si>
  <si>
    <t>6.1.10</t>
  </si>
  <si>
    <t>6.1.11</t>
  </si>
  <si>
    <t>6.1.13</t>
  </si>
  <si>
    <t>7.1.1</t>
  </si>
  <si>
    <t>7.1.2</t>
  </si>
  <si>
    <t>7.1.3</t>
  </si>
  <si>
    <t>7.1.5</t>
  </si>
  <si>
    <t>7.1.6</t>
  </si>
  <si>
    <t>7.1.7</t>
  </si>
  <si>
    <t>7.1.8</t>
  </si>
  <si>
    <t>7.1.9</t>
  </si>
  <si>
    <t>7.1.10</t>
  </si>
  <si>
    <t>7.1.11</t>
  </si>
  <si>
    <t>7.1.12</t>
  </si>
  <si>
    <t>8.1.1</t>
  </si>
  <si>
    <t>8.1.2</t>
  </si>
  <si>
    <t>8.1.3</t>
  </si>
  <si>
    <t>8.1.4</t>
  </si>
  <si>
    <t>8.1.5</t>
  </si>
  <si>
    <t>8.1.6</t>
  </si>
  <si>
    <t>8.1.7</t>
  </si>
  <si>
    <t>8.1.8</t>
  </si>
  <si>
    <t>8.1.9</t>
  </si>
  <si>
    <t>8.1.10</t>
  </si>
  <si>
    <t>8.1.11</t>
  </si>
  <si>
    <t>8.1.12</t>
  </si>
  <si>
    <t>9.1.1</t>
  </si>
  <si>
    <t>9.1.2</t>
  </si>
  <si>
    <t>9.1.3</t>
  </si>
  <si>
    <t>9.1.4</t>
  </si>
  <si>
    <t>9.1.5</t>
  </si>
  <si>
    <t>9.1.6</t>
  </si>
  <si>
    <t>9.1.7</t>
  </si>
  <si>
    <t>9.1.8</t>
  </si>
  <si>
    <t>9.1.9</t>
  </si>
  <si>
    <t>9.1.10</t>
  </si>
  <si>
    <t>9.1.11</t>
  </si>
  <si>
    <t>9.1.12</t>
  </si>
  <si>
    <t>9.1.13</t>
  </si>
  <si>
    <t>10.1.1</t>
  </si>
  <si>
    <t>10.1.2</t>
  </si>
  <si>
    <t>10.1.3</t>
  </si>
  <si>
    <t>10.1.4</t>
  </si>
  <si>
    <t>10.1.5</t>
  </si>
  <si>
    <t>10.1.6</t>
  </si>
  <si>
    <t>10.1.7</t>
  </si>
  <si>
    <t>10.1.8</t>
  </si>
  <si>
    <t>10.1.9</t>
  </si>
  <si>
    <t>10.1.10</t>
  </si>
  <si>
    <t>10.1.11</t>
  </si>
  <si>
    <t>10.1.12</t>
  </si>
  <si>
    <t>10.1.13</t>
  </si>
  <si>
    <t>11.1.1</t>
  </si>
  <si>
    <t>11.1.2</t>
  </si>
  <si>
    <t>11.1.3</t>
  </si>
  <si>
    <t>11.1.4</t>
  </si>
  <si>
    <t>11.1.5</t>
  </si>
  <si>
    <t>11.1.6</t>
  </si>
  <si>
    <t>11.1.7</t>
  </si>
  <si>
    <t>11.1.8</t>
  </si>
  <si>
    <t>11.1.9</t>
  </si>
  <si>
    <t>11.1.10</t>
  </si>
  <si>
    <t>11.1.11</t>
  </si>
  <si>
    <t>11.1.12</t>
  </si>
  <si>
    <t>11.1.13</t>
  </si>
  <si>
    <t>12.1.1</t>
  </si>
  <si>
    <t>12.1.2</t>
  </si>
  <si>
    <t>12.1.3</t>
  </si>
  <si>
    <t>12.1.4</t>
  </si>
  <si>
    <t>12.1.5</t>
  </si>
  <si>
    <t>12.1.6</t>
  </si>
  <si>
    <t>12.1.7</t>
  </si>
  <si>
    <t>12.1.8</t>
  </si>
  <si>
    <t>12.1.9</t>
  </si>
  <si>
    <t>12.1.10</t>
  </si>
  <si>
    <t>12.1.11</t>
  </si>
  <si>
    <t>12.1.12</t>
  </si>
  <si>
    <t>12.1.13</t>
  </si>
  <si>
    <t>Gestão de Recursos Humanos</t>
  </si>
  <si>
    <t>Integration with HR ERP Systems</t>
  </si>
  <si>
    <t>Automatic Trigger Detection</t>
  </si>
  <si>
    <t>Detect Performance Trigger</t>
  </si>
  <si>
    <t>Verify Trigger Conditions</t>
  </si>
  <si>
    <t>Initiate Performance Evaluation Workflow</t>
  </si>
  <si>
    <t>Log Trigger Activity</t>
  </si>
  <si>
    <t>Notify HR/Administrator</t>
  </si>
  <si>
    <t>Await HR/Admin Input (Conditional)</t>
  </si>
  <si>
    <t>Complete Evaluation Setup</t>
  </si>
  <si>
    <t>Assign Evaluator</t>
  </si>
  <si>
    <t>Schedule Evaluation</t>
  </si>
  <si>
    <t>Real-Time Data Integration</t>
  </si>
  <si>
    <t>Check for New or Updated Data Entries</t>
  </si>
  <si>
    <t>Validate Data Changes</t>
  </si>
  <si>
    <t>Synchronize Data</t>
  </si>
  <si>
    <t>Log Data Integration Activity</t>
  </si>
  <si>
    <t>Resolve Conflicts</t>
  </si>
  <si>
    <t>Notify Relevant Stakeholders</t>
  </si>
  <si>
    <t>Update Analytics</t>
  </si>
  <si>
    <t>Automated Performance Evaluation Workflows</t>
  </si>
  <si>
    <t>Automated Workflow Triggering</t>
  </si>
  <si>
    <t>Monitor for Trigger Events</t>
  </si>
  <si>
    <t>Verify Trigger Validity</t>
  </si>
  <si>
    <t>Initiate Evaluation Workflow</t>
  </si>
  <si>
    <t>Log Workflow Initiation</t>
  </si>
  <si>
    <t>Check for Additional Inputs</t>
  </si>
  <si>
    <t>Escalate to Manual Intervention if Necessary</t>
  </si>
  <si>
    <t>Manual Evaluation Initiation</t>
  </si>
  <si>
    <t>Request Manual Initiation</t>
  </si>
  <si>
    <t>Confirm Authorization</t>
  </si>
  <si>
    <t>Initiate Evaluation Workflow Manually</t>
  </si>
  <si>
    <t>Log Manual Workflow Initiation</t>
  </si>
  <si>
    <t>Provide Interface for Additional Details</t>
  </si>
  <si>
    <t>Confirm Receipt and Acceptance of Evaluation Task</t>
  </si>
  <si>
    <t>Escalate for Further Review if Needed</t>
  </si>
  <si>
    <t>Data Collection and Analysis</t>
  </si>
  <si>
    <t>Comprehensive Performance Data Gathering</t>
  </si>
  <si>
    <t>Initiate Data Collection</t>
  </si>
  <si>
    <t>Collect Quantitative Performance Metrics</t>
  </si>
  <si>
    <t>Collect Qualitative Feedback</t>
  </si>
  <si>
    <t>Integrate Multi-Source Feedback</t>
  </si>
  <si>
    <t>Validate Data Integrity</t>
  </si>
  <si>
    <t>Store Data in Central Repository</t>
  </si>
  <si>
    <t>Provide Access to Data for Analysis</t>
  </si>
  <si>
    <t>Generate Reports Based on Collected Data</t>
  </si>
  <si>
    <t>Update Employee Records</t>
  </si>
  <si>
    <t>Schedule Next Data Collection Cycle</t>
  </si>
  <si>
    <t>Advanced HR Metrics Analysis</t>
  </si>
  <si>
    <t>Initiate HR Metrics Analysis</t>
  </si>
  <si>
    <t>Aggregate Data</t>
  </si>
  <si>
    <t>Analyze Quantitative Metrics</t>
  </si>
  <si>
    <t>Analyze Qualitative Feedback</t>
  </si>
  <si>
    <t>Cross-Reference Metrics</t>
  </si>
  <si>
    <t>Generate Visual Reports</t>
  </si>
  <si>
    <t>Review Preliminary Findings</t>
  </si>
  <si>
    <t>Refine Analysis Based on Feedback</t>
  </si>
  <si>
    <t>Finalize and Approve Reports</t>
  </si>
  <si>
    <t>Distribute Reports to Stakeholders</t>
  </si>
  <si>
    <t>Use Insights for Strategic Decision Making</t>
  </si>
  <si>
    <t>Schedule Next Analysis</t>
  </si>
  <si>
    <t>Multi-source Feedback Collection</t>
  </si>
  <si>
    <t>Comprehensive Feedback Integration</t>
  </si>
  <si>
    <t>Initiate Feedback Collection</t>
  </si>
  <si>
    <t>Collect Supervisor Feedback</t>
  </si>
  <si>
    <t>Collect Peer Feedback</t>
  </si>
  <si>
    <t>Collect Subordinate Feedback</t>
  </si>
  <si>
    <t>Aggregate All Feedback</t>
  </si>
  <si>
    <t>Analyze Feedback for Comprehensive Insights</t>
  </si>
  <si>
    <t>Generate Comprehensive Feedback Report</t>
  </si>
  <si>
    <t>Review Feedback Report</t>
  </si>
  <si>
    <t>Adjustments and Recommendations</t>
  </si>
  <si>
    <t>Present Feedback to Employee</t>
  </si>
  <si>
    <t>Implement Development Plans</t>
  </si>
  <si>
    <t>Monitor Progress and Adjust Plans</t>
  </si>
  <si>
    <t>Customizable Evaluation Forms and Workflows</t>
  </si>
  <si>
    <t>Adaptive Evaluation Framework</t>
  </si>
  <si>
    <t>Define Evaluation Criteria</t>
  </si>
  <si>
    <t>Customize Evaluation Forms</t>
  </si>
  <si>
    <t>Select Evaluation Context</t>
  </si>
  <si>
    <t>Set Up Conditional Logic in Forms</t>
  </si>
  <si>
    <t>Review and Approve Forms</t>
  </si>
  <si>
    <t>Distribute Forms to Relevant Parties</t>
  </si>
  <si>
    <t>Collect Completed Evaluations</t>
  </si>
  <si>
    <t>Analyze Evaluation Data</t>
  </si>
  <si>
    <t>Generate Reports Based on Analysis</t>
  </si>
  <si>
    <t>Review Reports and Plan Development Initiatives</t>
  </si>
  <si>
    <t>Implement Feedback into Future Evaluation Cycles</t>
  </si>
  <si>
    <t>Provide Feedback to Employees</t>
  </si>
  <si>
    <t>Monitor and Adjust Framework Based on Feedback</t>
  </si>
  <si>
    <t>Digital Documentation and Archiving</t>
  </si>
  <si>
    <t>Secure Digital Archiving System</t>
  </si>
  <si>
    <t>Enable Document Scanning and Digitalization</t>
  </si>
  <si>
    <t>Apply Metadata and Index Documents</t>
  </si>
  <si>
    <t>Store Documents in Secure Digital Repository</t>
  </si>
  <si>
    <t>Implement Access Control Measures</t>
  </si>
  <si>
    <t>Perform Regular Security Audits</t>
  </si>
  <si>
    <t>Set Up Automatic Backup Systems</t>
  </si>
  <si>
    <t>Enable Document Retrieval Interface</t>
  </si>
  <si>
    <t>Implement Version Control</t>
  </si>
  <si>
    <t>Conduct User Training on Document Management System</t>
  </si>
  <si>
    <t>Monitor and Update Security Protocols</t>
  </si>
  <si>
    <t>Review Legal Compliance Annually</t>
  </si>
  <si>
    <t>Enable Document Destruction Protocols</t>
  </si>
  <si>
    <t>Provide Reports on Document Accessibility</t>
  </si>
  <si>
    <t>Legal and Executive Reviews</t>
  </si>
  <si>
    <t>Enhanced Legal and Executive Oversight</t>
  </si>
  <si>
    <t>Initiate Legal Review Process</t>
  </si>
  <si>
    <t>Document Review and Analysis</t>
  </si>
  <si>
    <t>Provide Legal Feedback</t>
  </si>
  <si>
    <t>Executive Review Initiation</t>
  </si>
  <si>
    <t>Compile Executive Summary</t>
  </si>
  <si>
    <t>Implement Executive Decisions</t>
  </si>
  <si>
    <t>Record Keeping</t>
  </si>
  <si>
    <t>Notify Relevant Parties</t>
  </si>
  <si>
    <t>Audit and Compliance Check</t>
  </si>
  <si>
    <t>Update Legal and Executive Review Protocols</t>
  </si>
  <si>
    <t>Training on Updated Protocols</t>
  </si>
  <si>
    <t>Periodic Review of Legal and Executive Oversight</t>
  </si>
  <si>
    <t>User Accessibility and Interface</t>
  </si>
  <si>
    <t>Universal Interface Design</t>
  </si>
  <si>
    <t>Define Interface Requirements</t>
  </si>
  <si>
    <t>Create Interface Mockups</t>
  </si>
  <si>
    <t>Conduct Usability Testing</t>
  </si>
  <si>
    <t>Implement Interface Design</t>
  </si>
  <si>
    <t>Integrate Responsive Design</t>
  </si>
  <si>
    <t>Review and Approve Interface</t>
  </si>
  <si>
    <t>Deploy Interface</t>
  </si>
  <si>
    <t>Monitor User Interaction</t>
  </si>
  <si>
    <t>Collect User Feedback</t>
  </si>
  <si>
    <t>Iterate Design Based on Feedback</t>
  </si>
  <si>
    <t>Provide Training on Interface Usage</t>
  </si>
  <si>
    <t>Update Interface Documentation</t>
  </si>
  <si>
    <t>Security and Data Privacy</t>
  </si>
  <si>
    <t>Advanced Security Framework</t>
  </si>
  <si>
    <t>Define Security Requirements</t>
  </si>
  <si>
    <t>Develop Security Architecture</t>
  </si>
  <si>
    <t>Implement Access Control Systems</t>
  </si>
  <si>
    <t>Deploy Encryption Technologies</t>
  </si>
  <si>
    <t>Conduct Security Testing</t>
  </si>
  <si>
    <t>Integrate Intrusion Detection Systems</t>
  </si>
  <si>
    <t>Train Staff on Security Protocols</t>
  </si>
  <si>
    <t>Monitor Security Systems</t>
  </si>
  <si>
    <t>Update Security Measures</t>
  </si>
  <si>
    <t>Review Compliance with Security Policies</t>
  </si>
  <si>
    <t>Implement Security Incident Response Plan</t>
  </si>
  <si>
    <t>Document Security Procedures</t>
  </si>
  <si>
    <t>Audit Security Framework Annually</t>
  </si>
  <si>
    <t>Scalability</t>
  </si>
  <si>
    <t>Scalable System Architecture</t>
  </si>
  <si>
    <t>Evaluate Current Infrastructure</t>
  </si>
  <si>
    <t>Define Scalability Requirements</t>
  </si>
  <si>
    <t>Design Modular Architecture</t>
  </si>
  <si>
    <t>Implement Microservices</t>
  </si>
  <si>
    <t>Integrate Load Balancing</t>
  </si>
  <si>
    <t>Deploy Elastic Computing Resources</t>
  </si>
  <si>
    <t>Test Scalability</t>
  </si>
  <si>
    <t>Optimize Performance</t>
  </si>
  <si>
    <t>Monitor System Performance</t>
  </si>
  <si>
    <t>Update Scalability Plan Regularly</t>
  </si>
  <si>
    <t>Provide Training on Scalable Practices</t>
  </si>
  <si>
    <t>Document Scalability Procedures</t>
  </si>
  <si>
    <t>Review and Adjust Scalability Strategies Annually</t>
  </si>
  <si>
    <t>Reliability and Availability</t>
  </si>
  <si>
    <t>Enhanced Reliability and Uptime</t>
  </si>
  <si>
    <t>Assess Current System Uptime</t>
  </si>
  <si>
    <t>Design High Availability Infrastructure</t>
  </si>
  <si>
    <t>Implement Redundant Systems</t>
  </si>
  <si>
    <t>Set Up Automatic Failover</t>
  </si>
  <si>
    <t>Conduct Regular Maintenance</t>
  </si>
  <si>
    <t>Update and Patch Systems Regularly</t>
  </si>
  <si>
    <t>Train Staff on Emergency Procedures</t>
  </si>
  <si>
    <t>Test Disaster Recovery Plans</t>
  </si>
  <si>
    <t>Document Reliability Procedures</t>
  </si>
  <si>
    <t>Review Reliability Metrics Annually</t>
  </si>
  <si>
    <t>Implement Predictive Maintenance Technologies</t>
  </si>
  <si>
    <t>Provide Reports on System Uptime to Stakeholders</t>
  </si>
  <si>
    <t>Support and Maintenance</t>
  </si>
  <si>
    <t>Proactive System Maintenance and User Support</t>
  </si>
  <si>
    <t>Schedule Regular System Maintenance</t>
  </si>
  <si>
    <t>Update Software and Hardware</t>
  </si>
  <si>
    <t>Perform System Diagnostics</t>
  </si>
  <si>
    <t>Monitor System Health</t>
  </si>
  <si>
    <t>Provide User Helpdesk Support</t>
  </si>
  <si>
    <t>Train Users on New Features and Updates</t>
  </si>
  <si>
    <t>Collect Feedback from Users</t>
  </si>
  <si>
    <t>Implement Preventive Measures</t>
  </si>
  <si>
    <t>Review and Adjust Maintenance Protocols</t>
  </si>
  <si>
    <t>Document Maintenance Activities and Outcomes</t>
  </si>
  <si>
    <t>Analyze Maintenance Data for Trends</t>
  </si>
  <si>
    <t>Update Support Documentation</t>
  </si>
  <si>
    <t>Schedule Next Review of Maintenance Strategy</t>
  </si>
  <si>
    <t>RT - Programador sénior</t>
  </si>
  <si>
    <t>AN - Analista</t>
  </si>
  <si>
    <t>GP - Gestor projeto</t>
  </si>
  <si>
    <t>DS - Designer gráfico</t>
  </si>
  <si>
    <t>PR1 - Programador</t>
  </si>
  <si>
    <t>PR2 - Programador</t>
  </si>
  <si>
    <t>4.1.11</t>
  </si>
  <si>
    <t>1.1</t>
  </si>
  <si>
    <t>1.2</t>
  </si>
  <si>
    <t>2.1</t>
  </si>
  <si>
    <t>2.2</t>
  </si>
  <si>
    <t>3</t>
  </si>
  <si>
    <t>3.1</t>
  </si>
  <si>
    <t>3.2</t>
  </si>
  <si>
    <t>4</t>
  </si>
  <si>
    <t>4.1</t>
  </si>
  <si>
    <t>5</t>
  </si>
  <si>
    <t>5.1</t>
  </si>
  <si>
    <t>6</t>
  </si>
  <si>
    <t>6.1</t>
  </si>
  <si>
    <t>7</t>
  </si>
  <si>
    <t>7.1</t>
  </si>
  <si>
    <t>8</t>
  </si>
  <si>
    <t>8.1</t>
  </si>
  <si>
    <t>9</t>
  </si>
  <si>
    <t>9.1</t>
  </si>
  <si>
    <t>10</t>
  </si>
  <si>
    <t>10.1</t>
  </si>
  <si>
    <t>11</t>
  </si>
  <si>
    <t>11.1</t>
  </si>
  <si>
    <t>12</t>
  </si>
  <si>
    <t>12.1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</si>
</sst>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409]d\-mmm\-yy;@"/>
    <numFmt numFmtId="165" formatCode="0.0"/>
    <numFmt numFmtId="166" formatCode="0_);[Red]\(0\)"/>
    <numFmt numFmtId="167" formatCode="dd"/>
    <numFmt numFmtId="168" formatCode="ddd"/>
    <numFmt numFmtId="169" formatCode="[$-F800]dddd\,\ mmmm\ dd\,\ yyyy"/>
  </numFmts>
  <fonts count="44" x14ac:knownFonts="1">
    <font>
      <sz val="10"/>
      <name val="Arial"/>
    </font>
    <font>
      <u/>
      <sz val="10"/>
      <color indexed="12"/>
      <name val="Arial"/>
      <family val="2"/>
    </font>
    <font>
      <sz val="8"/>
      <name val="Arial"/>
      <family val="2"/>
    </font>
    <font>
      <sz val="8"/>
      <color indexed="81"/>
      <name val="Tahoma"/>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8"/>
      <name val="Tahoma"/>
      <family val="2"/>
    </font>
    <font>
      <sz val="8"/>
      <color indexed="9"/>
      <name val="Tahoma"/>
      <family val="2"/>
    </font>
    <font>
      <u/>
      <sz val="10"/>
      <color indexed="15"/>
      <name val="Tahoma"/>
      <family val="2"/>
    </font>
    <font>
      <sz val="6"/>
      <color indexed="9"/>
      <name val="Tahoma"/>
      <family val="2"/>
    </font>
    <font>
      <sz val="10"/>
      <name val="Tahoma"/>
      <family val="2"/>
    </font>
    <font>
      <u/>
      <sz val="10"/>
      <color indexed="12"/>
      <name val="Tahoma"/>
      <family val="2"/>
    </font>
    <font>
      <sz val="6"/>
      <name val="Tahoma"/>
      <family val="2"/>
    </font>
    <font>
      <sz val="8"/>
      <color indexed="22"/>
      <name val="Tahoma"/>
      <family val="2"/>
    </font>
    <font>
      <b/>
      <sz val="8"/>
      <color indexed="9"/>
      <name val="Tahoma"/>
      <family val="2"/>
    </font>
    <font>
      <sz val="8"/>
      <color indexed="23"/>
      <name val="Tahoma"/>
      <family val="2"/>
    </font>
    <font>
      <sz val="10"/>
      <color indexed="9"/>
      <name val="Tahoma"/>
      <family val="2"/>
    </font>
    <font>
      <b/>
      <sz val="8"/>
      <name val="Tahoma"/>
      <family val="2"/>
    </font>
    <font>
      <sz val="10"/>
      <color indexed="8"/>
      <name val="Tahoma"/>
      <family val="2"/>
    </font>
    <font>
      <b/>
      <sz val="12"/>
      <color indexed="9"/>
      <name val="Tahoma"/>
      <family val="2"/>
    </font>
    <font>
      <b/>
      <sz val="10"/>
      <name val="Tahoma"/>
      <family val="2"/>
    </font>
    <font>
      <sz val="10"/>
      <color indexed="22"/>
      <name val="Tahoma"/>
      <family val="2"/>
    </font>
    <font>
      <b/>
      <sz val="8"/>
      <name val="Calibri"/>
      <family val="2"/>
      <scheme val="minor"/>
    </font>
    <font>
      <sz val="8"/>
      <name val="Calibri"/>
      <family val="2"/>
      <scheme val="minor"/>
    </font>
    <font>
      <sz val="8"/>
      <color indexed="9"/>
      <name val="Calibri"/>
      <family val="2"/>
      <scheme val="minor"/>
    </font>
    <font>
      <sz val="10"/>
      <name val="Calibri"/>
      <family val="2"/>
      <scheme val="minor"/>
    </font>
    <font>
      <b/>
      <sz val="10"/>
      <name val="Arial"/>
      <family val="2"/>
    </font>
    <font>
      <b/>
      <sz val="8"/>
      <color indexed="23"/>
      <name val="Tahoma"/>
      <family val="2"/>
    </font>
    <font>
      <sz val="6"/>
      <color indexed="22"/>
      <name val="Tahoma"/>
      <family val="2"/>
    </font>
  </fonts>
  <fills count="33">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patternFill>
    </fill>
    <fill>
      <patternFill patternType="solid">
        <fgColor indexed="9"/>
      </patternFill>
    </fill>
    <fill>
      <patternFill patternType="solid">
        <fgColor indexed="9"/>
        <bgColor indexed="22"/>
      </patternFill>
    </fill>
    <fill>
      <patternFill patternType="solid">
        <fgColor indexed="8"/>
        <bgColor indexed="22"/>
      </patternFill>
    </fill>
    <fill>
      <patternFill patternType="solid">
        <fgColor indexed="26"/>
      </patternFill>
    </fill>
    <fill>
      <patternFill patternType="solid">
        <fgColor indexed="65"/>
        <bgColor indexed="64"/>
      </patternFill>
    </fill>
    <fill>
      <patternFill patternType="solid">
        <fgColor indexed="22"/>
      </patternFill>
    </fill>
    <fill>
      <patternFill patternType="lightGray">
        <fgColor indexed="9"/>
        <bgColor indexed="22"/>
      </patternFill>
    </fill>
    <fill>
      <patternFill patternType="lightGray">
        <fgColor indexed="9"/>
        <bgColor indexed="9"/>
      </patternFill>
    </fill>
    <fill>
      <patternFill patternType="solid">
        <fgColor indexed="44"/>
      </patternFill>
    </fill>
    <fill>
      <patternFill patternType="solid">
        <fgColor indexed="43"/>
      </patternFill>
    </fill>
    <fill>
      <patternFill patternType="solid">
        <fgColor rgb="FFFFFF00"/>
        <bgColor indexed="64"/>
      </patternFill>
    </fill>
    <fill>
      <patternFill patternType="solid">
        <fgColor rgb="FFFF0000"/>
        <bgColor indexed="64"/>
      </patternFill>
    </fill>
  </fills>
  <borders count="6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12"/>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8"/>
      </bottom>
      <diagonal/>
    </border>
    <border>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64"/>
      </bottom>
      <diagonal/>
    </border>
    <border>
      <left/>
      <right style="thick">
        <color indexed="12"/>
      </right>
      <top style="thick">
        <color indexed="12"/>
      </top>
      <bottom style="double">
        <color indexed="64"/>
      </bottom>
      <diagonal/>
    </border>
    <border>
      <left style="thick">
        <color indexed="12"/>
      </left>
      <right style="thin">
        <color indexed="23"/>
      </right>
      <top/>
      <bottom/>
      <diagonal/>
    </border>
    <border>
      <left/>
      <right style="thin">
        <color indexed="23"/>
      </right>
      <top/>
      <bottom/>
      <diagonal/>
    </border>
    <border>
      <left style="thin">
        <color indexed="23"/>
      </left>
      <right style="thin">
        <color indexed="23"/>
      </right>
      <top/>
      <bottom/>
      <diagonal/>
    </border>
    <border>
      <left/>
      <right style="thick">
        <color indexed="12"/>
      </right>
      <top/>
      <bottom/>
      <diagonal/>
    </border>
    <border>
      <left style="thick">
        <color indexed="12"/>
      </left>
      <right style="thin">
        <color indexed="23"/>
      </right>
      <top style="thin">
        <color indexed="23"/>
      </top>
      <bottom/>
      <diagonal/>
    </border>
    <border>
      <left/>
      <right style="thin">
        <color indexed="23"/>
      </right>
      <top style="thin">
        <color indexed="23"/>
      </top>
      <bottom/>
      <diagonal/>
    </border>
    <border>
      <left style="thin">
        <color indexed="23"/>
      </left>
      <right style="thin">
        <color indexed="23"/>
      </right>
      <top style="thin">
        <color indexed="23"/>
      </top>
      <bottom/>
      <diagonal/>
    </border>
    <border>
      <left style="thick">
        <color indexed="12"/>
      </left>
      <right style="thin">
        <color indexed="23"/>
      </right>
      <top/>
      <bottom style="thick">
        <color indexed="12"/>
      </bottom>
      <diagonal/>
    </border>
    <border>
      <left/>
      <right style="thin">
        <color indexed="23"/>
      </right>
      <top/>
      <bottom style="thick">
        <color indexed="12"/>
      </bottom>
      <diagonal/>
    </border>
    <border>
      <left style="thin">
        <color indexed="23"/>
      </left>
      <right style="thin">
        <color indexed="23"/>
      </right>
      <top/>
      <bottom style="thick">
        <color indexed="12"/>
      </bottom>
      <diagonal/>
    </border>
    <border>
      <left/>
      <right style="thick">
        <color indexed="12"/>
      </right>
      <top/>
      <bottom style="thick">
        <color indexed="12"/>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diagonal/>
    </border>
  </borders>
  <cellStyleXfs count="46">
    <xf numFmtId="0" fontId="0" fillId="0" borderId="0"/>
    <xf numFmtId="0" fontId="5"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5" fillId="7" borderId="0" applyNumberFormat="0" applyBorder="0" applyAlignment="0" applyProtection="0"/>
    <xf numFmtId="0" fontId="5" fillId="2" borderId="0" applyNumberFormat="0" applyBorder="0" applyAlignment="0" applyProtection="0"/>
    <xf numFmtId="0" fontId="6" fillId="3" borderId="0" applyNumberFormat="0" applyBorder="0" applyAlignment="0" applyProtection="0"/>
    <xf numFmtId="0" fontId="6" fillId="7" borderId="0" applyNumberFormat="0" applyBorder="0" applyAlignment="0" applyProtection="0"/>
    <xf numFmtId="0" fontId="5" fillId="7"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12" borderId="0" applyNumberFormat="0" applyBorder="0" applyAlignment="0" applyProtection="0"/>
    <xf numFmtId="0" fontId="6" fillId="6" borderId="0" applyNumberFormat="0" applyBorder="0" applyAlignment="0" applyProtection="0"/>
    <xf numFmtId="0" fontId="6" fillId="13" borderId="0" applyNumberFormat="0" applyBorder="0" applyAlignment="0" applyProtection="0"/>
    <xf numFmtId="0" fontId="5" fillId="13" borderId="0" applyNumberFormat="0" applyBorder="0" applyAlignment="0" applyProtection="0"/>
    <xf numFmtId="0" fontId="7" fillId="14" borderId="0" applyNumberFormat="0" applyBorder="0" applyAlignment="0" applyProtection="0"/>
    <xf numFmtId="0" fontId="8" fillId="15" borderId="1" applyNumberFormat="0" applyAlignment="0" applyProtection="0"/>
    <xf numFmtId="0" fontId="9" fillId="8" borderId="2" applyNumberFormat="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1" fillId="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 fillId="0" borderId="0" applyNumberFormat="0" applyFill="0" applyBorder="0" applyAlignment="0" applyProtection="0">
      <alignment vertical="top"/>
      <protection locked="0"/>
    </xf>
    <xf numFmtId="0" fontId="15" fillId="13" borderId="1" applyNumberFormat="0" applyAlignment="0" applyProtection="0"/>
    <xf numFmtId="0" fontId="16" fillId="0" borderId="6" applyNumberFormat="0" applyFill="0" applyAlignment="0" applyProtection="0"/>
    <xf numFmtId="0" fontId="17" fillId="19" borderId="0" applyNumberFormat="0" applyBorder="0" applyAlignment="0" applyProtection="0"/>
    <xf numFmtId="0" fontId="4" fillId="6" borderId="7" applyNumberFormat="0" applyFont="0" applyAlignment="0" applyProtection="0"/>
    <xf numFmtId="0" fontId="18" fillId="15" borderId="8"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0" fontId="20" fillId="0" borderId="0" applyNumberFormat="0" applyFill="0" applyBorder="0" applyAlignment="0" applyProtection="0"/>
    <xf numFmtId="0" fontId="6" fillId="0" borderId="0"/>
  </cellStyleXfs>
  <cellXfs count="187">
    <xf numFmtId="0" fontId="0" fillId="0" borderId="0" xfId="0"/>
    <xf numFmtId="0" fontId="22" fillId="20" borderId="0" xfId="0" applyFont="1" applyFill="1"/>
    <xf numFmtId="0" fontId="23" fillId="20" borderId="0" xfId="36" applyFont="1" applyFill="1" applyAlignment="1" applyProtection="1"/>
    <xf numFmtId="0" fontId="24" fillId="20" borderId="0" xfId="0" applyFont="1" applyFill="1" applyAlignment="1">
      <alignment horizontal="right"/>
    </xf>
    <xf numFmtId="164" fontId="24" fillId="20" borderId="0" xfId="0" applyNumberFormat="1" applyFont="1" applyFill="1"/>
    <xf numFmtId="164" fontId="25" fillId="20" borderId="0" xfId="0" applyNumberFormat="1" applyFont="1" applyFill="1" applyAlignment="1">
      <alignment horizontal="center" vertical="center"/>
    </xf>
    <xf numFmtId="0" fontId="25" fillId="0" borderId="0" xfId="0" applyFont="1"/>
    <xf numFmtId="0" fontId="26" fillId="20" borderId="0" xfId="36" applyFont="1" applyFill="1" applyAlignment="1" applyProtection="1"/>
    <xf numFmtId="0" fontId="24" fillId="20" borderId="0" xfId="0" applyFont="1" applyFill="1"/>
    <xf numFmtId="164" fontId="27" fillId="20" borderId="0" xfId="0" applyNumberFormat="1" applyFont="1" applyFill="1"/>
    <xf numFmtId="164" fontId="22" fillId="20" borderId="0" xfId="0" applyNumberFormat="1" applyFont="1" applyFill="1" applyAlignment="1">
      <alignment horizontal="center" vertical="center"/>
    </xf>
    <xf numFmtId="0" fontId="22" fillId="20" borderId="0" xfId="0" applyFont="1" applyFill="1" applyAlignment="1">
      <alignment horizontal="left" wrapText="1"/>
    </xf>
    <xf numFmtId="0" fontId="22" fillId="20" borderId="0" xfId="0" applyFont="1" applyFill="1" applyAlignment="1">
      <alignment vertical="top" textRotation="180"/>
    </xf>
    <xf numFmtId="49" fontId="22" fillId="20" borderId="0" xfId="0" applyNumberFormat="1" applyFont="1" applyFill="1" applyAlignment="1">
      <alignment horizontal="left" vertical="top" textRotation="180"/>
    </xf>
    <xf numFmtId="0" fontId="22" fillId="20" borderId="0" xfId="0" applyFont="1" applyFill="1" applyAlignment="1">
      <alignment horizontal="left" vertical="top" textRotation="180"/>
    </xf>
    <xf numFmtId="49" fontId="22" fillId="20" borderId="0" xfId="0" applyNumberFormat="1" applyFont="1" applyFill="1" applyAlignment="1">
      <alignment vertical="top" textRotation="180" wrapText="1"/>
    </xf>
    <xf numFmtId="49" fontId="21" fillId="0" borderId="10" xfId="0" applyNumberFormat="1" applyFont="1" applyBorder="1" applyAlignment="1">
      <alignment horizontal="left" indent="1"/>
    </xf>
    <xf numFmtId="0" fontId="21" fillId="0" borderId="11" xfId="0" applyFont="1" applyBorder="1" applyAlignment="1">
      <alignment horizontal="left" indent="1"/>
    </xf>
    <xf numFmtId="0" fontId="21" fillId="21" borderId="12" xfId="0" applyFont="1" applyFill="1" applyBorder="1" applyAlignment="1">
      <alignment horizontal="center"/>
    </xf>
    <xf numFmtId="49" fontId="24" fillId="0" borderId="0" xfId="0" applyNumberFormat="1" applyFont="1"/>
    <xf numFmtId="165" fontId="21" fillId="0" borderId="0" xfId="0" applyNumberFormat="1" applyFont="1"/>
    <xf numFmtId="1" fontId="21" fillId="0" borderId="13" xfId="0" applyNumberFormat="1" applyFont="1" applyBorder="1"/>
    <xf numFmtId="0" fontId="21" fillId="22" borderId="0" xfId="0" applyFont="1" applyFill="1"/>
    <xf numFmtId="49" fontId="22" fillId="0" borderId="0" xfId="0" applyNumberFormat="1" applyFont="1" applyAlignment="1">
      <alignment shrinkToFit="1"/>
    </xf>
    <xf numFmtId="0" fontId="28" fillId="23" borderId="0" xfId="0" applyFont="1" applyFill="1"/>
    <xf numFmtId="1" fontId="29" fillId="20" borderId="0" xfId="0" applyNumberFormat="1" applyFont="1" applyFill="1"/>
    <xf numFmtId="0" fontId="21" fillId="20" borderId="0" xfId="0" applyFont="1" applyFill="1"/>
    <xf numFmtId="0" fontId="21" fillId="23" borderId="0" xfId="0" applyFont="1" applyFill="1"/>
    <xf numFmtId="1" fontId="22" fillId="20" borderId="0" xfId="0" applyNumberFormat="1" applyFont="1" applyFill="1"/>
    <xf numFmtId="0" fontId="22" fillId="23" borderId="0" xfId="0" applyFont="1" applyFill="1" applyAlignment="1">
      <alignment horizontal="left"/>
    </xf>
    <xf numFmtId="9" fontId="21" fillId="20" borderId="0" xfId="0" applyNumberFormat="1" applyFont="1" applyFill="1"/>
    <xf numFmtId="0" fontId="30" fillId="20" borderId="0" xfId="0" applyFont="1" applyFill="1"/>
    <xf numFmtId="9" fontId="22" fillId="20" borderId="0" xfId="0" applyNumberFormat="1" applyFont="1" applyFill="1"/>
    <xf numFmtId="0" fontId="30" fillId="23" borderId="0" xfId="0" applyFont="1" applyFill="1"/>
    <xf numFmtId="14" fontId="30" fillId="20" borderId="0" xfId="0" applyNumberFormat="1" applyFont="1" applyFill="1"/>
    <xf numFmtId="0" fontId="31" fillId="20" borderId="0" xfId="0" applyFont="1" applyFill="1"/>
    <xf numFmtId="0" fontId="25" fillId="21" borderId="0" xfId="0" applyFont="1" applyFill="1"/>
    <xf numFmtId="0" fontId="21" fillId="21" borderId="0" xfId="0" applyFont="1" applyFill="1"/>
    <xf numFmtId="0" fontId="32" fillId="21" borderId="14" xfId="0" applyFont="1" applyFill="1" applyBorder="1"/>
    <xf numFmtId="0" fontId="21" fillId="21" borderId="15" xfId="0" applyFont="1" applyFill="1" applyBorder="1"/>
    <xf numFmtId="0" fontId="25" fillId="21" borderId="15" xfId="0" applyFont="1" applyFill="1" applyBorder="1"/>
    <xf numFmtId="169" fontId="25" fillId="24" borderId="16" xfId="0" applyNumberFormat="1" applyFont="1" applyFill="1" applyBorder="1"/>
    <xf numFmtId="0" fontId="32" fillId="21" borderId="17" xfId="0" applyFont="1" applyFill="1" applyBorder="1"/>
    <xf numFmtId="0" fontId="21" fillId="21" borderId="18" xfId="0" applyFont="1" applyFill="1" applyBorder="1"/>
    <xf numFmtId="169" fontId="25" fillId="21" borderId="18" xfId="0" applyNumberFormat="1" applyFont="1" applyFill="1" applyBorder="1"/>
    <xf numFmtId="169" fontId="25" fillId="21" borderId="19" xfId="0" applyNumberFormat="1" applyFont="1" applyFill="1" applyBorder="1"/>
    <xf numFmtId="14" fontId="25" fillId="21" borderId="0" xfId="0" applyNumberFormat="1" applyFont="1" applyFill="1"/>
    <xf numFmtId="0" fontId="33" fillId="21" borderId="0" xfId="0" applyFont="1" applyFill="1" applyAlignment="1">
      <alignment horizontal="center"/>
    </xf>
    <xf numFmtId="0" fontId="34" fillId="21" borderId="20" xfId="0" applyFont="1" applyFill="1" applyBorder="1" applyAlignment="1">
      <alignment horizontal="center"/>
    </xf>
    <xf numFmtId="0" fontId="25" fillId="21" borderId="21" xfId="0" applyFont="1" applyFill="1" applyBorder="1"/>
    <xf numFmtId="0" fontId="31" fillId="21" borderId="21" xfId="0" applyFont="1" applyFill="1" applyBorder="1"/>
    <xf numFmtId="0" fontId="31" fillId="21" borderId="20" xfId="0" applyFont="1" applyFill="1" applyBorder="1"/>
    <xf numFmtId="0" fontId="31" fillId="21" borderId="22" xfId="0" applyFont="1" applyFill="1" applyBorder="1"/>
    <xf numFmtId="49" fontId="35" fillId="21" borderId="23" xfId="0" applyNumberFormat="1" applyFont="1" applyFill="1" applyBorder="1" applyAlignment="1">
      <alignment horizontal="left" vertical="top" wrapText="1"/>
    </xf>
    <xf numFmtId="0" fontId="25" fillId="21" borderId="0" xfId="0" applyFont="1" applyFill="1" applyAlignment="1">
      <alignment horizontal="center" vertical="top" wrapText="1"/>
    </xf>
    <xf numFmtId="0" fontId="21" fillId="21" borderId="0" xfId="0" applyFont="1" applyFill="1" applyAlignment="1">
      <alignment vertical="top" wrapText="1"/>
    </xf>
    <xf numFmtId="0" fontId="35" fillId="21" borderId="0" xfId="0" applyFont="1" applyFill="1" applyAlignment="1">
      <alignment wrapText="1"/>
    </xf>
    <xf numFmtId="0" fontId="25" fillId="21" borderId="0" xfId="0" applyFont="1" applyFill="1" applyAlignment="1">
      <alignment wrapText="1"/>
    </xf>
    <xf numFmtId="165" fontId="35" fillId="21" borderId="24" xfId="0" applyNumberFormat="1" applyFont="1" applyFill="1" applyBorder="1" applyAlignment="1">
      <alignment horizontal="center" wrapText="1"/>
    </xf>
    <xf numFmtId="16" fontId="25" fillId="0" borderId="25" xfId="0" applyNumberFormat="1" applyFont="1" applyBorder="1" applyAlignment="1">
      <alignment horizontal="center"/>
    </xf>
    <xf numFmtId="167" fontId="25" fillId="25" borderId="26" xfId="0" applyNumberFormat="1" applyFont="1" applyFill="1" applyBorder="1" applyAlignment="1">
      <alignment horizontal="center"/>
    </xf>
    <xf numFmtId="167" fontId="25" fillId="26" borderId="26" xfId="0" applyNumberFormat="1" applyFont="1" applyFill="1" applyBorder="1" applyAlignment="1">
      <alignment horizontal="center"/>
    </xf>
    <xf numFmtId="16" fontId="25" fillId="25" borderId="25" xfId="0" applyNumberFormat="1" applyFont="1" applyFill="1" applyBorder="1" applyAlignment="1">
      <alignment horizontal="center"/>
    </xf>
    <xf numFmtId="49" fontId="25" fillId="21" borderId="23" xfId="0" applyNumberFormat="1" applyFont="1" applyFill="1" applyBorder="1" applyAlignment="1">
      <alignment horizontal="left" vertical="top" wrapText="1"/>
    </xf>
    <xf numFmtId="0" fontId="25" fillId="21" borderId="0" xfId="0" applyFont="1" applyFill="1" applyAlignment="1">
      <alignment vertical="top" wrapText="1"/>
    </xf>
    <xf numFmtId="0" fontId="32" fillId="21" borderId="0" xfId="0" applyFont="1" applyFill="1" applyAlignment="1">
      <alignment horizontal="center" wrapText="1"/>
    </xf>
    <xf numFmtId="0" fontId="32" fillId="21" borderId="24" xfId="0" applyFont="1" applyFill="1" applyBorder="1" applyAlignment="1">
      <alignment horizontal="center" wrapText="1"/>
    </xf>
    <xf numFmtId="0" fontId="25" fillId="0" borderId="27" xfId="0" applyFont="1" applyBorder="1" applyAlignment="1">
      <alignment horizontal="center"/>
    </xf>
    <xf numFmtId="0" fontId="25" fillId="0" borderId="28" xfId="0" applyFont="1" applyBorder="1" applyAlignment="1">
      <alignment horizontal="center"/>
    </xf>
    <xf numFmtId="0" fontId="25" fillId="26" borderId="28" xfId="0" applyFont="1" applyFill="1" applyBorder="1" applyAlignment="1">
      <alignment horizontal="center"/>
    </xf>
    <xf numFmtId="0" fontId="25" fillId="26" borderId="29" xfId="0" applyFont="1" applyFill="1" applyBorder="1" applyAlignment="1">
      <alignment horizontal="center"/>
    </xf>
    <xf numFmtId="49" fontId="35" fillId="21" borderId="30" xfId="0" applyNumberFormat="1" applyFont="1" applyFill="1" applyBorder="1" applyAlignment="1">
      <alignment horizontal="left" vertical="top" wrapText="1"/>
    </xf>
    <xf numFmtId="166" fontId="25" fillId="21" borderId="11" xfId="0" applyNumberFormat="1" applyFont="1" applyFill="1" applyBorder="1" applyAlignment="1">
      <alignment horizontal="center" vertical="top" wrapText="1"/>
    </xf>
    <xf numFmtId="1" fontId="21" fillId="21" borderId="0" xfId="0" applyNumberFormat="1" applyFont="1" applyFill="1" applyAlignment="1">
      <alignment horizontal="left" vertical="top" wrapText="1"/>
    </xf>
    <xf numFmtId="9" fontId="25" fillId="21" borderId="31" xfId="0" applyNumberFormat="1" applyFont="1" applyFill="1" applyBorder="1" applyAlignment="1">
      <alignment horizontal="center"/>
    </xf>
    <xf numFmtId="165" fontId="25" fillId="21" borderId="31" xfId="0" applyNumberFormat="1" applyFont="1" applyFill="1" applyBorder="1" applyAlignment="1">
      <alignment horizontal="center"/>
    </xf>
    <xf numFmtId="165" fontId="25" fillId="21" borderId="32" xfId="0" applyNumberFormat="1" applyFont="1" applyFill="1" applyBorder="1"/>
    <xf numFmtId="0" fontId="25" fillId="27" borderId="33" xfId="0" applyFont="1" applyFill="1" applyBorder="1" applyAlignment="1">
      <alignment horizontal="center"/>
    </xf>
    <xf numFmtId="0" fontId="25" fillId="27" borderId="16" xfId="0" applyFont="1" applyFill="1" applyBorder="1" applyAlignment="1">
      <alignment horizontal="center"/>
    </xf>
    <xf numFmtId="49" fontId="25" fillId="21" borderId="30" xfId="0" applyNumberFormat="1" applyFont="1" applyFill="1" applyBorder="1" applyAlignment="1">
      <alignment horizontal="left" vertical="top" wrapText="1"/>
    </xf>
    <xf numFmtId="9" fontId="21" fillId="21" borderId="0" xfId="0" applyNumberFormat="1" applyFont="1" applyFill="1" applyAlignment="1">
      <alignment horizontal="left" vertical="top" wrapText="1"/>
    </xf>
    <xf numFmtId="9" fontId="25" fillId="21" borderId="12" xfId="0" applyNumberFormat="1" applyFont="1" applyFill="1" applyBorder="1" applyAlignment="1">
      <alignment horizontal="center"/>
    </xf>
    <xf numFmtId="0" fontId="25" fillId="21" borderId="30" xfId="0" applyFont="1" applyFill="1" applyBorder="1" applyAlignment="1">
      <alignment horizontal="center"/>
    </xf>
    <xf numFmtId="0" fontId="25" fillId="21" borderId="11" xfId="0" applyFont="1" applyFill="1" applyBorder="1" applyAlignment="1">
      <alignment horizontal="center"/>
    </xf>
    <xf numFmtId="0" fontId="25" fillId="27" borderId="34" xfId="0" applyFont="1" applyFill="1" applyBorder="1" applyAlignment="1">
      <alignment horizontal="center"/>
    </xf>
    <xf numFmtId="0" fontId="25" fillId="27" borderId="35" xfId="0" applyFont="1" applyFill="1" applyBorder="1" applyAlignment="1">
      <alignment horizontal="center"/>
    </xf>
    <xf numFmtId="49" fontId="25" fillId="26" borderId="30" xfId="0" applyNumberFormat="1" applyFont="1" applyFill="1" applyBorder="1" applyAlignment="1">
      <alignment horizontal="left" vertical="top" wrapText="1"/>
    </xf>
    <xf numFmtId="166" fontId="25" fillId="26" borderId="11" xfId="0" applyNumberFormat="1" applyFont="1" applyFill="1" applyBorder="1" applyAlignment="1">
      <alignment horizontal="center" vertical="top" wrapText="1"/>
    </xf>
    <xf numFmtId="0" fontId="25" fillId="21" borderId="23" xfId="0" applyFont="1" applyFill="1" applyBorder="1"/>
    <xf numFmtId="166" fontId="21" fillId="21" borderId="0" xfId="0" applyNumberFormat="1" applyFont="1" applyFill="1" applyAlignment="1">
      <alignment horizontal="left" vertical="top" wrapText="1"/>
    </xf>
    <xf numFmtId="0" fontId="25" fillId="21" borderId="32" xfId="0" applyFont="1" applyFill="1" applyBorder="1"/>
    <xf numFmtId="166" fontId="25" fillId="21" borderId="0" xfId="0" applyNumberFormat="1" applyFont="1" applyFill="1" applyAlignment="1">
      <alignment horizontal="left" vertical="top" wrapText="1"/>
    </xf>
    <xf numFmtId="0" fontId="25" fillId="21" borderId="12" xfId="0" applyFont="1" applyFill="1" applyBorder="1" applyAlignment="1">
      <alignment horizontal="center"/>
    </xf>
    <xf numFmtId="0" fontId="21" fillId="21" borderId="36" xfId="0" applyFont="1" applyFill="1" applyBorder="1" applyAlignment="1">
      <alignment horizontal="center"/>
    </xf>
    <xf numFmtId="0" fontId="25" fillId="21" borderId="36" xfId="0" applyFont="1" applyFill="1" applyBorder="1" applyAlignment="1">
      <alignment horizontal="center"/>
    </xf>
    <xf numFmtId="0" fontId="25" fillId="21" borderId="37" xfId="0" applyFont="1" applyFill="1" applyBorder="1" applyAlignment="1">
      <alignment horizontal="center"/>
    </xf>
    <xf numFmtId="0" fontId="25" fillId="21" borderId="38" xfId="0" applyFont="1" applyFill="1" applyBorder="1" applyAlignment="1">
      <alignment horizontal="center"/>
    </xf>
    <xf numFmtId="0" fontId="25" fillId="27" borderId="39" xfId="0" applyFont="1" applyFill="1" applyBorder="1" applyAlignment="1">
      <alignment horizontal="center"/>
    </xf>
    <xf numFmtId="0" fontId="25" fillId="27" borderId="19" xfId="0" applyFont="1" applyFill="1" applyBorder="1" applyAlignment="1">
      <alignment horizontal="center"/>
    </xf>
    <xf numFmtId="0" fontId="25" fillId="21" borderId="0" xfId="0" applyFont="1" applyFill="1" applyAlignment="1">
      <alignment horizontal="center"/>
    </xf>
    <xf numFmtId="1" fontId="25" fillId="21" borderId="24" xfId="0" applyNumberFormat="1" applyFont="1" applyFill="1" applyBorder="1" applyAlignment="1">
      <alignment wrapText="1"/>
    </xf>
    <xf numFmtId="0" fontId="25" fillId="28" borderId="25" xfId="0" applyFont="1" applyFill="1" applyBorder="1"/>
    <xf numFmtId="0" fontId="25" fillId="28" borderId="26" xfId="0" applyFont="1" applyFill="1" applyBorder="1"/>
    <xf numFmtId="0" fontId="25" fillId="28" borderId="0" xfId="0" applyFont="1" applyFill="1"/>
    <xf numFmtId="0" fontId="35" fillId="28" borderId="0" xfId="0" applyFont="1" applyFill="1" applyAlignment="1">
      <alignment horizontal="center"/>
    </xf>
    <xf numFmtId="0" fontId="35" fillId="28" borderId="24" xfId="0" applyFont="1" applyFill="1" applyBorder="1" applyAlignment="1">
      <alignment horizontal="center"/>
    </xf>
    <xf numFmtId="0" fontId="21" fillId="21" borderId="40" xfId="0" applyFont="1" applyFill="1" applyBorder="1"/>
    <xf numFmtId="0" fontId="21" fillId="21" borderId="41" xfId="0" applyFont="1" applyFill="1" applyBorder="1"/>
    <xf numFmtId="0" fontId="25" fillId="21" borderId="41" xfId="0" applyFont="1" applyFill="1" applyBorder="1"/>
    <xf numFmtId="0" fontId="25" fillId="21" borderId="42" xfId="0" applyFont="1" applyFill="1" applyBorder="1"/>
    <xf numFmtId="0" fontId="25" fillId="21" borderId="40" xfId="0" applyFont="1" applyFill="1" applyBorder="1"/>
    <xf numFmtId="0" fontId="25" fillId="28" borderId="41" xfId="0" applyFont="1" applyFill="1" applyBorder="1"/>
    <xf numFmtId="0" fontId="25" fillId="29" borderId="0" xfId="0" applyFont="1" applyFill="1" applyAlignment="1">
      <alignment horizontal="center"/>
    </xf>
    <xf numFmtId="16" fontId="21" fillId="21" borderId="0" xfId="0" applyNumberFormat="1" applyFont="1" applyFill="1"/>
    <xf numFmtId="168" fontId="25" fillId="21" borderId="0" xfId="0" applyNumberFormat="1" applyFont="1" applyFill="1"/>
    <xf numFmtId="16" fontId="25" fillId="21" borderId="0" xfId="0" applyNumberFormat="1" applyFont="1" applyFill="1"/>
    <xf numFmtId="0" fontId="25" fillId="21" borderId="0" xfId="0" quotePrefix="1" applyFont="1" applyFill="1" applyAlignment="1">
      <alignment horizontal="left"/>
    </xf>
    <xf numFmtId="14" fontId="21" fillId="21" borderId="0" xfId="0" applyNumberFormat="1" applyFont="1" applyFill="1"/>
    <xf numFmtId="0" fontId="32" fillId="21" borderId="0" xfId="0" applyFont="1" applyFill="1"/>
    <xf numFmtId="0" fontId="32" fillId="30" borderId="43" xfId="0" applyFont="1" applyFill="1" applyBorder="1" applyAlignment="1">
      <alignment horizontal="center"/>
    </xf>
    <xf numFmtId="0" fontId="32" fillId="30" borderId="44" xfId="0" applyFont="1" applyFill="1" applyBorder="1" applyAlignment="1">
      <alignment horizontal="left"/>
    </xf>
    <xf numFmtId="0" fontId="32" fillId="30" borderId="45" xfId="0" applyFont="1" applyFill="1" applyBorder="1" applyAlignment="1">
      <alignment horizontal="center"/>
    </xf>
    <xf numFmtId="0" fontId="32" fillId="30" borderId="46" xfId="0" applyFont="1" applyFill="1" applyBorder="1" applyAlignment="1">
      <alignment horizontal="center"/>
    </xf>
    <xf numFmtId="0" fontId="32" fillId="30" borderId="47" xfId="0" applyFont="1" applyFill="1" applyBorder="1" applyAlignment="1">
      <alignment horizontal="center"/>
    </xf>
    <xf numFmtId="0" fontId="32" fillId="30" borderId="48" xfId="0" applyFont="1" applyFill="1" applyBorder="1" applyAlignment="1">
      <alignment horizontal="center"/>
    </xf>
    <xf numFmtId="0" fontId="32" fillId="30" borderId="49" xfId="0" applyFont="1" applyFill="1" applyBorder="1" applyAlignment="1">
      <alignment horizontal="left"/>
    </xf>
    <xf numFmtId="0" fontId="32" fillId="30" borderId="49" xfId="0" applyFont="1" applyFill="1" applyBorder="1" applyAlignment="1">
      <alignment horizontal="center"/>
    </xf>
    <xf numFmtId="0" fontId="32" fillId="30" borderId="50" xfId="0" applyFont="1" applyFill="1" applyBorder="1" applyAlignment="1">
      <alignment horizontal="center"/>
    </xf>
    <xf numFmtId="0" fontId="32" fillId="30" borderId="51" xfId="0" applyFont="1" applyFill="1" applyBorder="1" applyAlignment="1">
      <alignment horizontal="center"/>
    </xf>
    <xf numFmtId="0" fontId="21" fillId="30" borderId="52" xfId="0" applyFont="1" applyFill="1" applyBorder="1" applyAlignment="1">
      <alignment horizontal="left"/>
    </xf>
    <xf numFmtId="0" fontId="21" fillId="30" borderId="53" xfId="0" applyFont="1" applyFill="1" applyBorder="1" applyAlignment="1">
      <alignment horizontal="left"/>
    </xf>
    <xf numFmtId="0" fontId="21" fillId="30" borderId="54" xfId="0" applyFont="1" applyFill="1" applyBorder="1" applyAlignment="1">
      <alignment horizontal="left"/>
    </xf>
    <xf numFmtId="0" fontId="21" fillId="0" borderId="55" xfId="0" applyFont="1" applyBorder="1"/>
    <xf numFmtId="0" fontId="21" fillId="0" borderId="56" xfId="0" applyFont="1" applyBorder="1" applyAlignment="1">
      <alignment horizontal="left" vertical="top"/>
    </xf>
    <xf numFmtId="0" fontId="21" fillId="0" borderId="57" xfId="0" applyFont="1" applyBorder="1" applyAlignment="1">
      <alignment horizontal="left"/>
    </xf>
    <xf numFmtId="0" fontId="21" fillId="0" borderId="57" xfId="36" applyFont="1" applyFill="1" applyBorder="1" applyAlignment="1" applyProtection="1">
      <alignment horizontal="left" wrapText="1"/>
    </xf>
    <xf numFmtId="0" fontId="21" fillId="0" borderId="58" xfId="0" applyFont="1" applyBorder="1" applyAlignment="1">
      <alignment horizontal="left"/>
    </xf>
    <xf numFmtId="169" fontId="25" fillId="21" borderId="0" xfId="0" applyNumberFormat="1" applyFont="1" applyFill="1"/>
    <xf numFmtId="0" fontId="26" fillId="0" borderId="0" xfId="36" applyFont="1" applyAlignment="1" applyProtection="1"/>
    <xf numFmtId="0" fontId="21" fillId="0" borderId="0" xfId="0" applyFont="1"/>
    <xf numFmtId="0" fontId="32" fillId="0" borderId="0" xfId="0" applyFont="1"/>
    <xf numFmtId="164" fontId="28" fillId="20" borderId="0" xfId="0" applyNumberFormat="1" applyFont="1" applyFill="1" applyAlignment="1">
      <alignment horizontal="center" vertical="center"/>
    </xf>
    <xf numFmtId="49" fontId="28" fillId="20" borderId="0" xfId="0" applyNumberFormat="1" applyFont="1" applyFill="1" applyAlignment="1">
      <alignment horizontal="left" vertical="top" textRotation="180"/>
    </xf>
    <xf numFmtId="0" fontId="28" fillId="20" borderId="0" xfId="0" applyFont="1" applyFill="1" applyAlignment="1">
      <alignment horizontal="left" vertical="top" textRotation="180"/>
    </xf>
    <xf numFmtId="0" fontId="36" fillId="0" borderId="0" xfId="0" applyFont="1"/>
    <xf numFmtId="0" fontId="37" fillId="0" borderId="0" xfId="0" applyFont="1"/>
    <xf numFmtId="9" fontId="38" fillId="0" borderId="0" xfId="0" applyNumberFormat="1" applyFont="1"/>
    <xf numFmtId="0" fontId="38" fillId="0" borderId="0" xfId="0" applyFont="1"/>
    <xf numFmtId="164" fontId="38" fillId="0" borderId="0" xfId="0" applyNumberFormat="1" applyFont="1"/>
    <xf numFmtId="0" fontId="39" fillId="0" borderId="0" xfId="0" applyFont="1"/>
    <xf numFmtId="165" fontId="38" fillId="0" borderId="0" xfId="0" applyNumberFormat="1" applyFont="1"/>
    <xf numFmtId="1" fontId="38" fillId="0" borderId="0" xfId="0" applyNumberFormat="1" applyFont="1"/>
    <xf numFmtId="0" fontId="40" fillId="0" borderId="0" xfId="0" applyFont="1"/>
    <xf numFmtId="0" fontId="10" fillId="0" borderId="0" xfId="45" applyFont="1"/>
    <xf numFmtId="0" fontId="6" fillId="0" borderId="0" xfId="45"/>
    <xf numFmtId="0" fontId="6" fillId="0" borderId="0" xfId="45" applyAlignment="1">
      <alignment horizontal="left"/>
    </xf>
    <xf numFmtId="0" fontId="6" fillId="0" borderId="0" xfId="45" applyAlignment="1">
      <alignment horizontal="center"/>
    </xf>
    <xf numFmtId="0" fontId="10" fillId="0" borderId="0" xfId="45" applyFont="1" applyAlignment="1">
      <alignment horizontal="left"/>
    </xf>
    <xf numFmtId="49" fontId="21" fillId="0" borderId="11" xfId="0" applyNumberFormat="1" applyFont="1" applyBorder="1" applyAlignment="1">
      <alignment horizontal="left"/>
    </xf>
    <xf numFmtId="0" fontId="10" fillId="0" borderId="0" xfId="45" applyFont="1" applyAlignment="1">
      <alignment horizontal="center"/>
    </xf>
    <xf numFmtId="9" fontId="0" fillId="0" borderId="0" xfId="0" applyNumberFormat="1"/>
    <xf numFmtId="0" fontId="41" fillId="0" borderId="0" xfId="0" applyFont="1" applyAlignment="1">
      <alignment horizontal="center"/>
    </xf>
    <xf numFmtId="9" fontId="41" fillId="0" borderId="0" xfId="0" applyNumberFormat="1" applyFont="1"/>
    <xf numFmtId="0" fontId="28" fillId="20" borderId="0" xfId="0" applyFont="1" applyFill="1"/>
    <xf numFmtId="0" fontId="42" fillId="20" borderId="0" xfId="0" applyFont="1" applyFill="1"/>
    <xf numFmtId="1" fontId="21" fillId="20" borderId="0" xfId="0" applyNumberFormat="1" applyFont="1" applyFill="1"/>
    <xf numFmtId="0" fontId="43" fillId="20" borderId="0" xfId="0" applyFont="1" applyFill="1"/>
    <xf numFmtId="0" fontId="21" fillId="21" borderId="12" xfId="0" applyFont="1" applyFill="1" applyBorder="1" applyAlignment="1">
      <alignment horizontal="left" vertical="top"/>
    </xf>
    <xf numFmtId="49" fontId="24" fillId="31" borderId="0" xfId="0" applyNumberFormat="1" applyFont="1" applyFill="1"/>
    <xf numFmtId="49" fontId="24" fillId="32" borderId="0" xfId="0" applyNumberFormat="1" applyFont="1" applyFill="1"/>
    <xf numFmtId="164" fontId="24" fillId="20" borderId="0" xfId="0" applyNumberFormat="1" applyFont="1" applyFill="1" applyAlignment="1">
      <alignment horizontal="center" vertical="center"/>
    </xf>
    <xf numFmtId="0" fontId="28" fillId="23" borderId="0" xfId="0" applyFont="1" applyFill="1" applyAlignment="1">
      <alignment horizontal="right"/>
    </xf>
    <xf numFmtId="0" fontId="36" fillId="0" borderId="0" xfId="0" applyFont="1"/>
    <xf numFmtId="0" fontId="22" fillId="23" borderId="0" xfId="0" applyFont="1" applyFill="1" applyAlignment="1">
      <alignment horizontal="right"/>
    </xf>
    <xf numFmtId="0" fontId="25" fillId="0" borderId="0" xfId="0" applyFont="1"/>
    <xf numFmtId="0" fontId="34" fillId="20" borderId="20" xfId="0" applyFont="1" applyFill="1" applyBorder="1" applyAlignment="1">
      <alignment horizontal="center"/>
    </xf>
    <xf numFmtId="0" fontId="34" fillId="20" borderId="21" xfId="0" applyFont="1" applyFill="1" applyBorder="1" applyAlignment="1">
      <alignment horizontal="center"/>
    </xf>
    <xf numFmtId="0" fontId="34" fillId="20" borderId="22" xfId="0" applyFont="1" applyFill="1" applyBorder="1" applyAlignment="1">
      <alignment horizontal="center"/>
    </xf>
    <xf numFmtId="16" fontId="35" fillId="21" borderId="25" xfId="0" applyNumberFormat="1" applyFont="1" applyFill="1" applyBorder="1" applyAlignment="1">
      <alignment horizontal="center"/>
    </xf>
    <xf numFmtId="16" fontId="35" fillId="21" borderId="26" xfId="0" applyNumberFormat="1" applyFont="1" applyFill="1" applyBorder="1" applyAlignment="1">
      <alignment horizontal="center"/>
    </xf>
    <xf numFmtId="16" fontId="35" fillId="21" borderId="62" xfId="0" applyNumberFormat="1" applyFont="1" applyFill="1" applyBorder="1" applyAlignment="1">
      <alignment horizontal="center"/>
    </xf>
    <xf numFmtId="0" fontId="35" fillId="28" borderId="59" xfId="0" applyFont="1" applyFill="1" applyBorder="1" applyAlignment="1">
      <alignment horizontal="center"/>
    </xf>
    <xf numFmtId="0" fontId="35" fillId="28" borderId="60" xfId="0" applyFont="1" applyFill="1" applyBorder="1" applyAlignment="1">
      <alignment horizontal="center"/>
    </xf>
    <xf numFmtId="0" fontId="35" fillId="28" borderId="61" xfId="0" applyFont="1" applyFill="1" applyBorder="1" applyAlignment="1">
      <alignment horizontal="center"/>
    </xf>
    <xf numFmtId="0" fontId="25" fillId="21" borderId="27" xfId="0" applyFont="1" applyFill="1" applyBorder="1" applyAlignment="1">
      <alignment horizontal="center"/>
    </xf>
    <xf numFmtId="0" fontId="25" fillId="21" borderId="28" xfId="0" applyFont="1" applyFill="1" applyBorder="1" applyAlignment="1">
      <alignment horizontal="center"/>
    </xf>
    <xf numFmtId="0" fontId="25" fillId="21" borderId="29" xfId="0" applyFont="1" applyFill="1" applyBorder="1" applyAlignment="1">
      <alignment horizontal="center"/>
    </xf>
  </cellXfs>
  <cellStyles count="46">
    <cellStyle name="Accent1" xfId="1" builtinId="29" customBuiltin="1"/>
    <cellStyle name="Accent1 - 20%" xfId="2" xr:uid="{00000000-0005-0000-0000-000000000000}"/>
    <cellStyle name="Accent1 - 40%" xfId="3" xr:uid="{00000000-0005-0000-0000-000001000000}"/>
    <cellStyle name="Accent1 - 60%" xfId="4" xr:uid="{00000000-0005-0000-0000-000002000000}"/>
    <cellStyle name="Accent2" xfId="5" builtinId="33" customBuiltin="1"/>
    <cellStyle name="Accent2 - 20%" xfId="6" xr:uid="{00000000-0005-0000-0000-000003000000}"/>
    <cellStyle name="Accent2 - 40%" xfId="7" xr:uid="{00000000-0005-0000-0000-000004000000}"/>
    <cellStyle name="Accent2 - 60%" xfId="8" xr:uid="{00000000-0005-0000-0000-000005000000}"/>
    <cellStyle name="Accent3" xfId="9" builtinId="37" customBuiltin="1"/>
    <cellStyle name="Accent3 - 20%" xfId="10" xr:uid="{00000000-0005-0000-0000-000006000000}"/>
    <cellStyle name="Accent3 - 40%" xfId="11" xr:uid="{00000000-0005-0000-0000-000007000000}"/>
    <cellStyle name="Accent3 - 60%" xfId="12" xr:uid="{00000000-0005-0000-0000-000008000000}"/>
    <cellStyle name="Accent4" xfId="13" builtinId="41" customBuiltin="1"/>
    <cellStyle name="Accent4 - 20%" xfId="14" xr:uid="{00000000-0005-0000-0000-000009000000}"/>
    <cellStyle name="Accent4 - 40%" xfId="15" xr:uid="{00000000-0005-0000-0000-00000A000000}"/>
    <cellStyle name="Accent4 - 60%" xfId="16" xr:uid="{00000000-0005-0000-0000-00000B000000}"/>
    <cellStyle name="Accent5" xfId="17" builtinId="45" customBuiltin="1"/>
    <cellStyle name="Accent5 - 20%" xfId="18" xr:uid="{00000000-0005-0000-0000-00000C000000}"/>
    <cellStyle name="Accent5 - 40%" xfId="19" xr:uid="{00000000-0005-0000-0000-00000D000000}"/>
    <cellStyle name="Accent5 - 60%" xfId="20" xr:uid="{00000000-0005-0000-0000-00000E000000}"/>
    <cellStyle name="Accent6" xfId="21" builtinId="49" customBuiltin="1"/>
    <cellStyle name="Accent6 - 20%" xfId="22" xr:uid="{00000000-0005-0000-0000-00000F000000}"/>
    <cellStyle name="Accent6 - 40%" xfId="23" xr:uid="{00000000-0005-0000-0000-000010000000}"/>
    <cellStyle name="Accent6 - 60%" xfId="24" xr:uid="{00000000-0005-0000-0000-000011000000}"/>
    <cellStyle name="Bad" xfId="25" builtinId="27" customBuiltin="1"/>
    <cellStyle name="Calculation" xfId="26" builtinId="22" customBuiltin="1"/>
    <cellStyle name="Check Cell" xfId="27" builtinId="23" customBuiltin="1"/>
    <cellStyle name="Emphasis 1" xfId="28" xr:uid="{00000000-0005-0000-0000-00001F000000}"/>
    <cellStyle name="Emphasis 2" xfId="29" xr:uid="{00000000-0005-0000-0000-000020000000}"/>
    <cellStyle name="Emphasis 3" xfId="30" xr:uid="{00000000-0005-0000-0000-000021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5" xr:uid="{00000000-0005-0000-0000-000027000000}"/>
    <cellStyle name="Note" xfId="40" builtinId="10" customBuiltin="1"/>
    <cellStyle name="Output" xfId="41" builtinId="21" customBuiltin="1"/>
    <cellStyle name="Sheet Title" xfId="42" xr:uid="{00000000-0005-0000-0000-00002A000000}"/>
    <cellStyle name="Total" xfId="43" builtinId="25" customBuiltin="1"/>
    <cellStyle name="Warning Text" xfId="44" builtinId="11" customBuiltin="1"/>
  </cellStyles>
  <dxfs count="383">
    <dxf>
      <fill>
        <patternFill patternType="solid">
          <fgColor indexed="64"/>
          <bgColor indexed="44"/>
        </patternFill>
      </fill>
    </dxf>
    <dxf>
      <fill>
        <patternFill patternType="solid">
          <fgColor indexed="64"/>
          <bgColor indexed="47"/>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7"/>
        </patternFill>
      </fill>
    </dxf>
    <dxf>
      <font>
        <b/>
        <i val="0"/>
        <condense val="0"/>
        <extend val="0"/>
        <color indexed="9"/>
      </font>
      <fill>
        <patternFill patternType="solid">
          <fgColor indexed="64"/>
          <bgColor indexed="57"/>
        </patternFill>
      </fill>
    </dxf>
    <dxf>
      <fill>
        <patternFill patternType="solid">
          <fgColor indexed="64"/>
          <bgColor indexed="42"/>
        </patternFill>
      </fill>
    </dxf>
    <dxf>
      <fill>
        <patternFill patternType="solid">
          <fgColor indexed="64"/>
          <bgColor indexed="45"/>
        </patternFill>
      </fill>
    </dxf>
    <dxf>
      <fill>
        <patternFill patternType="solid">
          <fgColor indexed="64"/>
          <bgColor indexed="11"/>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3"/>
        </patternFill>
      </fill>
    </dxf>
    <dxf>
      <fill>
        <patternFill patternType="gray0625">
          <fgColor indexed="64"/>
          <bgColor indexed="65"/>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10"/>
        </patternFill>
      </fill>
    </dxf>
    <dxf>
      <font>
        <condense val="0"/>
        <extend val="0"/>
        <color auto="1"/>
      </font>
      <fill>
        <patternFill patternType="solid">
          <fgColor indexed="64"/>
          <bgColor indexed="42"/>
        </patternFill>
      </fill>
    </dxf>
    <dxf>
      <fill>
        <patternFill patternType="lightDown">
          <fgColor indexed="22"/>
          <bgColor indexed="65"/>
        </patternFill>
      </fill>
    </dxf>
    <dxf>
      <fill>
        <patternFill patternType="lightDown">
          <fgColor indexed="22"/>
          <bgColor indexed="65"/>
        </patternFill>
      </fill>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ill>
        <patternFill patternType="lightDown">
          <fgColor indexed="22"/>
          <bgColor indexed="65"/>
        </patternFill>
      </fill>
    </dxf>
    <dxf>
      <font>
        <condense val="0"/>
        <extend val="0"/>
        <color auto="1"/>
      </font>
      <fill>
        <patternFill patternType="solid">
          <fgColor indexed="64"/>
          <bgColor indexed="42"/>
        </patternFill>
      </fill>
    </dxf>
    <dxf>
      <fill>
        <patternFill patternType="solid">
          <fgColor indexed="64"/>
          <bgColor indexed="42"/>
        </patternFill>
      </fill>
    </dxf>
    <dxf>
      <font>
        <condense val="0"/>
        <extend val="0"/>
        <color auto="1"/>
      </font>
      <fill>
        <patternFill patternType="solid">
          <fgColor indexed="64"/>
          <bgColor indexed="42"/>
        </patternFill>
      </fill>
    </dxf>
    <dxf>
      <font>
        <condense val="0"/>
        <extend val="0"/>
        <color auto="1"/>
      </font>
      <fill>
        <patternFill patternType="solid">
          <fgColor indexed="64"/>
          <bgColor indexed="9"/>
        </patternFill>
      </fill>
    </dxf>
    <dxf>
      <fill>
        <patternFill patternType="lightDown">
          <fgColor indexed="22"/>
          <bgColor indexed="65"/>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indexed="11"/>
      </font>
    </dxf>
  </dxfs>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Workitem Cumulative Flow</a:t>
            </a:r>
          </a:p>
        </c:rich>
      </c:tx>
      <c:layout>
        <c:manualLayout>
          <c:xMode val="edge"/>
          <c:yMode val="edge"/>
          <c:x val="0.17505054923690092"/>
          <c:y val="3.8461645124548111E-2"/>
        </c:manualLayout>
      </c:layout>
      <c:overlay val="0"/>
    </c:title>
    <c:autoTitleDeleted val="0"/>
    <c:plotArea>
      <c:layout>
        <c:manualLayout>
          <c:layoutTarget val="inner"/>
          <c:xMode val="edge"/>
          <c:yMode val="edge"/>
          <c:x val="0.12577209098862638"/>
          <c:y val="0.16981163364466695"/>
          <c:w val="0.81713108778069421"/>
          <c:h val="0.54213915713366023"/>
        </c:manualLayout>
      </c:layout>
      <c:areaChart>
        <c:grouping val="stacked"/>
        <c:varyColors val="0"/>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Analysis!$E$37:$R$37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D096-48F6-AB2D-C63E131D7B44}"/>
            </c:ext>
          </c:extLst>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Analysis!$E$36:$R$36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1-D096-48F6-AB2D-C63E131D7B44}"/>
            </c:ext>
          </c:extLst>
        </c:ser>
        <c:ser>
          <c:idx val="2"/>
          <c:order val="2"/>
          <c:tx>
            <c:v>Pending</c:v>
          </c:tx>
          <c:spPr>
            <a:solidFill>
              <a:schemeClr val="bg2">
                <a:lumMod val="90000"/>
              </a:schemeClr>
            </a:solidFill>
          </c:spPr>
          <c:val>
            <c:numRef>
              <c:f>Analysis!$E$35:$R$35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2-D096-48F6-AB2D-C63E131D7B44}"/>
            </c:ext>
          </c:extLst>
        </c:ser>
        <c:dLbls>
          <c:showLegendKey val="0"/>
          <c:showVal val="0"/>
          <c:showCatName val="0"/>
          <c:showSerName val="0"/>
          <c:showPercent val="0"/>
          <c:showBubbleSize val="0"/>
        </c:dLbls>
        <c:axId val="158390776"/>
        <c:axId val="158388816"/>
      </c:areaChart>
      <c:catAx>
        <c:axId val="158390776"/>
        <c:scaling>
          <c:orientation val="minMax"/>
        </c:scaling>
        <c:delete val="0"/>
        <c:axPos val="b"/>
        <c:title>
          <c:tx>
            <c:rich>
              <a:bodyPr/>
              <a:lstStyle/>
              <a:p>
                <a:pPr>
                  <a:defRPr sz="1400"/>
                </a:pPr>
                <a:r>
                  <a:rPr lang="en-US" sz="1400"/>
                  <a:t>Days</a:t>
                </a:r>
              </a:p>
            </c:rich>
          </c:tx>
          <c:layout>
            <c:manualLayout>
              <c:xMode val="edge"/>
              <c:yMode val="edge"/>
              <c:x val="0.51515407796247692"/>
              <c:y val="0.79516822661318864"/>
            </c:manualLayout>
          </c:layout>
          <c:overlay val="0"/>
        </c:title>
        <c:numFmt formatCode="General" sourceLinked="0"/>
        <c:majorTickMark val="out"/>
        <c:minorTickMark val="none"/>
        <c:tickLblPos val="nextTo"/>
        <c:txPr>
          <a:bodyPr rot="-2700000" vert="horz"/>
          <a:lstStyle/>
          <a:p>
            <a:pPr>
              <a:defRPr/>
            </a:pPr>
            <a:endParaRPr lang="pt-PT"/>
          </a:p>
        </c:txPr>
        <c:crossAx val="158388816"/>
        <c:crosses val="autoZero"/>
        <c:auto val="1"/>
        <c:lblAlgn val="ctr"/>
        <c:lblOffset val="100"/>
        <c:tickLblSkip val="3"/>
        <c:tickMarkSkip val="1"/>
        <c:noMultiLvlLbl val="1"/>
      </c:catAx>
      <c:valAx>
        <c:axId val="158388816"/>
        <c:scaling>
          <c:orientation val="minMax"/>
          <c:min val="0"/>
        </c:scaling>
        <c:delete val="0"/>
        <c:axPos val="l"/>
        <c:majorGridlines/>
        <c:title>
          <c:tx>
            <c:rich>
              <a:bodyPr/>
              <a:lstStyle/>
              <a:p>
                <a:pPr>
                  <a:defRPr sz="1400"/>
                </a:pPr>
                <a:r>
                  <a:rPr lang="en-US" sz="1400"/>
                  <a:t>Work Item Count</a:t>
                </a:r>
              </a:p>
            </c:rich>
          </c:tx>
          <c:layout>
            <c:manualLayout>
              <c:xMode val="edge"/>
              <c:yMode val="edge"/>
              <c:x val="3.6927621861152143E-2"/>
              <c:y val="0.22115384615384612"/>
            </c:manualLayout>
          </c:layout>
          <c:overlay val="0"/>
        </c:title>
        <c:numFmt formatCode="General" sourceLinked="1"/>
        <c:majorTickMark val="out"/>
        <c:minorTickMark val="none"/>
        <c:tickLblPos val="none"/>
        <c:crossAx val="158390776"/>
        <c:crossesAt val="1"/>
        <c:crossBetween val="midCat"/>
        <c:majorUnit val="2"/>
        <c:minorUnit val="1"/>
      </c:valAx>
      <c:spPr>
        <a:solidFill>
          <a:schemeClr val="bg1">
            <a:lumMod val="20000"/>
            <a:lumOff val="80000"/>
          </a:schemeClr>
        </a:solidFill>
      </c:spPr>
    </c:plotArea>
    <c:legend>
      <c:legendPos val="r"/>
      <c:layout>
        <c:manualLayout>
          <c:xMode val="edge"/>
          <c:yMode val="edge"/>
          <c:x val="2.9537523087391854E-2"/>
          <c:y val="0.89894161343040391"/>
          <c:w val="0.92308569067755464"/>
          <c:h val="7.5018075570742374E-2"/>
        </c:manualLayout>
      </c:layout>
      <c:overlay val="0"/>
    </c:legend>
    <c:plotVisOnly val="1"/>
    <c:dispBlanksAs val="zero"/>
    <c:showDLblsOverMax val="0"/>
  </c:chart>
  <c:spPr>
    <a:solidFill>
      <a:srgbClr val="FFFFFF"/>
    </a:solidFill>
  </c:spPr>
  <c:printSettings>
    <c:headerFooter/>
    <c:pageMargins b="0.75000000000000366" l="0.70000000000000062" r="0.70000000000000062" t="0.75000000000000366" header="0.30000000000000032" footer="0.30000000000000032"/>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Hours Burndown with Cumulative Flow</a:t>
            </a:r>
          </a:p>
        </c:rich>
      </c:tx>
      <c:layout>
        <c:manualLayout>
          <c:xMode val="edge"/>
          <c:yMode val="edge"/>
          <c:x val="0.22098421541318475"/>
          <c:y val="3.8369304556354941E-2"/>
        </c:manualLayout>
      </c:layout>
      <c:overlay val="0"/>
    </c:title>
    <c:autoTitleDeleted val="0"/>
    <c:plotArea>
      <c:layout>
        <c:manualLayout>
          <c:layoutTarget val="inner"/>
          <c:xMode val="edge"/>
          <c:yMode val="edge"/>
          <c:x val="0.1011257386832118"/>
          <c:y val="0.17669172932330818"/>
          <c:w val="0.87100657289633654"/>
          <c:h val="0.46992481203007747"/>
        </c:manualLayout>
      </c:layout>
      <c:areaChart>
        <c:grouping val="stacked"/>
        <c:varyColors val="0"/>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Analysis!$E$33:$R$33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4BD9-4A55-8B90-A7DCF1F7A32A}"/>
            </c:ext>
          </c:extLst>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Analysis!$E$32:$R$32</c:f>
              <c:numCache>
                <c:formatCode>0</c:formatCode>
                <c:ptCount val="14"/>
                <c:pt idx="0">
                  <c:v>490</c:v>
                </c:pt>
                <c:pt idx="1">
                  <c:v>498</c:v>
                </c:pt>
                <c:pt idx="2">
                  <c:v>506</c:v>
                </c:pt>
                <c:pt idx="3">
                  <c:v>514</c:v>
                </c:pt>
                <c:pt idx="4">
                  <c:v>522</c:v>
                </c:pt>
                <c:pt idx="5">
                  <c:v>530</c:v>
                </c:pt>
                <c:pt idx="6">
                  <c:v>538</c:v>
                </c:pt>
                <c:pt idx="7">
                  <c:v>546</c:v>
                </c:pt>
                <c:pt idx="8">
                  <c:v>554</c:v>
                </c:pt>
                <c:pt idx="9">
                  <c:v>562</c:v>
                </c:pt>
                <c:pt idx="10">
                  <c:v>570</c:v>
                </c:pt>
                <c:pt idx="11">
                  <c:v>578</c:v>
                </c:pt>
                <c:pt idx="12">
                  <c:v>586</c:v>
                </c:pt>
                <c:pt idx="13">
                  <c:v>594</c:v>
                </c:pt>
              </c:numCache>
            </c:numRef>
          </c:val>
          <c:extLst>
            <c:ext xmlns:c16="http://schemas.microsoft.com/office/drawing/2014/chart" uri="{C3380CC4-5D6E-409C-BE32-E72D297353CC}">
              <c16:uniqueId val="{00000001-4BD9-4A55-8B90-A7DCF1F7A32A}"/>
            </c:ext>
          </c:extLst>
        </c:ser>
        <c:ser>
          <c:idx val="2"/>
          <c:order val="2"/>
          <c:tx>
            <c:v>Pending</c:v>
          </c:tx>
          <c:spPr>
            <a:solidFill>
              <a:schemeClr val="bg2">
                <a:lumMod val="90000"/>
              </a:schemeClr>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Analysis!$E$31:$R$31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2-4BD9-4A55-8B90-A7DCF1F7A32A}"/>
            </c:ext>
          </c:extLst>
        </c:ser>
        <c:dLbls>
          <c:showLegendKey val="0"/>
          <c:showVal val="0"/>
          <c:showCatName val="0"/>
          <c:showSerName val="0"/>
          <c:showPercent val="0"/>
          <c:showBubbleSize val="0"/>
        </c:dLbls>
        <c:axId val="158391168"/>
        <c:axId val="158391560"/>
      </c:areaChart>
      <c:lineChart>
        <c:grouping val="standard"/>
        <c:varyColors val="0"/>
        <c:ser>
          <c:idx val="3"/>
          <c:order val="3"/>
          <c:tx>
            <c:v>Remaining</c:v>
          </c:tx>
          <c:spPr>
            <a:ln w="25400">
              <a:solidFill>
                <a:schemeClr val="accent6"/>
              </a:solidFill>
            </a:ln>
          </c:spPr>
          <c:marker>
            <c:symbol val="x"/>
            <c:size val="3"/>
            <c:spPr>
              <a:solidFill>
                <a:schemeClr val="accent6"/>
              </a:solidFill>
              <a:ln w="3175"/>
            </c:spPr>
          </c:marker>
          <c:trendline>
            <c:spPr>
              <a:ln w="12700">
                <a:solidFill>
                  <a:srgbClr val="FF0000"/>
                </a:solidFill>
                <a:prstDash val="dash"/>
              </a:ln>
            </c:spPr>
            <c:trendlineType val="linear"/>
            <c:dispRSqr val="0"/>
            <c:dispEq val="0"/>
          </c:trendline>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Analysis!$E$22:$R$22</c:f>
              <c:numCache>
                <c:formatCode>General</c:formatCode>
                <c:ptCount val="14"/>
                <c:pt idx="0">
                  <c:v>482</c:v>
                </c:pt>
                <c:pt idx="1">
                  <c:v>482</c:v>
                </c:pt>
                <c:pt idx="2">
                  <c:v>482</c:v>
                </c:pt>
                <c:pt idx="3">
                  <c:v>482</c:v>
                </c:pt>
                <c:pt idx="4">
                  <c:v>482</c:v>
                </c:pt>
                <c:pt idx="5">
                  <c:v>482</c:v>
                </c:pt>
                <c:pt idx="6">
                  <c:v>482</c:v>
                </c:pt>
                <c:pt idx="7">
                  <c:v>482</c:v>
                </c:pt>
                <c:pt idx="8">
                  <c:v>482</c:v>
                </c:pt>
                <c:pt idx="9">
                  <c:v>482</c:v>
                </c:pt>
                <c:pt idx="10">
                  <c:v>482</c:v>
                </c:pt>
                <c:pt idx="11">
                  <c:v>482</c:v>
                </c:pt>
                <c:pt idx="12">
                  <c:v>482</c:v>
                </c:pt>
                <c:pt idx="13">
                  <c:v>482</c:v>
                </c:pt>
              </c:numCache>
            </c:numRef>
          </c:val>
          <c:smooth val="0"/>
          <c:extLst>
            <c:ext xmlns:c16="http://schemas.microsoft.com/office/drawing/2014/chart" uri="{C3380CC4-5D6E-409C-BE32-E72D297353CC}">
              <c16:uniqueId val="{00000004-4BD9-4A55-8B90-A7DCF1F7A32A}"/>
            </c:ext>
          </c:extLst>
        </c:ser>
        <c:ser>
          <c:idx val="4"/>
          <c:order val="4"/>
          <c:tx>
            <c:v>Effort</c:v>
          </c:tx>
          <c:spPr>
            <a:ln w="25400">
              <a:solidFill>
                <a:schemeClr val="accent1"/>
              </a:solidFill>
            </a:ln>
          </c:spPr>
          <c:marker>
            <c:symbol val="circle"/>
            <c:size val="3"/>
            <c:spPr>
              <a:solidFill>
                <a:schemeClr val="accent1"/>
              </a:solidFill>
              <a:ln w="3175"/>
            </c:spPr>
          </c:marker>
          <c:val>
            <c:numRef>
              <c:f>Analysis!$E$24:$R$24</c:f>
              <c:numCache>
                <c:formatCode>General</c:formatCode>
                <c:ptCount val="14"/>
                <c:pt idx="0">
                  <c:v>8</c:v>
                </c:pt>
                <c:pt idx="1">
                  <c:v>16</c:v>
                </c:pt>
                <c:pt idx="2">
                  <c:v>24</c:v>
                </c:pt>
                <c:pt idx="3">
                  <c:v>32</c:v>
                </c:pt>
                <c:pt idx="4">
                  <c:v>40</c:v>
                </c:pt>
                <c:pt idx="5">
                  <c:v>48</c:v>
                </c:pt>
                <c:pt idx="6">
                  <c:v>56</c:v>
                </c:pt>
                <c:pt idx="7">
                  <c:v>64</c:v>
                </c:pt>
                <c:pt idx="8">
                  <c:v>72</c:v>
                </c:pt>
                <c:pt idx="9">
                  <c:v>80</c:v>
                </c:pt>
                <c:pt idx="10">
                  <c:v>88</c:v>
                </c:pt>
                <c:pt idx="11">
                  <c:v>96</c:v>
                </c:pt>
                <c:pt idx="12">
                  <c:v>104</c:v>
                </c:pt>
                <c:pt idx="13">
                  <c:v>112</c:v>
                </c:pt>
              </c:numCache>
            </c:numRef>
          </c:val>
          <c:smooth val="1"/>
          <c:extLst>
            <c:ext xmlns:c16="http://schemas.microsoft.com/office/drawing/2014/chart" uri="{C3380CC4-5D6E-409C-BE32-E72D297353CC}">
              <c16:uniqueId val="{00000005-4BD9-4A55-8B90-A7DCF1F7A32A}"/>
            </c:ext>
          </c:extLst>
        </c:ser>
        <c:dLbls>
          <c:showLegendKey val="0"/>
          <c:showVal val="0"/>
          <c:showCatName val="0"/>
          <c:showSerName val="0"/>
          <c:showPercent val="0"/>
          <c:showBubbleSize val="0"/>
        </c:dLbls>
        <c:marker val="1"/>
        <c:smooth val="0"/>
        <c:axId val="158391168"/>
        <c:axId val="158391560"/>
      </c:lineChart>
      <c:catAx>
        <c:axId val="158391168"/>
        <c:scaling>
          <c:orientation val="minMax"/>
        </c:scaling>
        <c:delete val="0"/>
        <c:axPos val="b"/>
        <c:title>
          <c:tx>
            <c:rich>
              <a:bodyPr/>
              <a:lstStyle/>
              <a:p>
                <a:pPr algn="ctr" rtl="0">
                  <a:defRPr lang="en-US" sz="1400" b="1" i="0" u="none" strike="noStrike" kern="1200" baseline="0">
                    <a:solidFill>
                      <a:sysClr val="windowText" lastClr="000000"/>
                    </a:solidFill>
                    <a:latin typeface="+mn-lt"/>
                    <a:ea typeface="+mn-ea"/>
                    <a:cs typeface="+mn-cs"/>
                  </a:defRPr>
                </a:pPr>
                <a:r>
                  <a:rPr lang="en-US" sz="1400" b="1" i="0" u="none" strike="noStrike" kern="1200" baseline="0">
                    <a:solidFill>
                      <a:sysClr val="windowText" lastClr="000000"/>
                    </a:solidFill>
                    <a:latin typeface="+mn-lt"/>
                    <a:ea typeface="+mn-ea"/>
                    <a:cs typeface="+mn-cs"/>
                  </a:rPr>
                  <a:t>Days</a:t>
                </a:r>
              </a:p>
            </c:rich>
          </c:tx>
          <c:layout>
            <c:manualLayout>
              <c:xMode val="edge"/>
              <c:yMode val="edge"/>
              <c:x val="0.46346112718816135"/>
              <c:y val="0.7504193554753027"/>
            </c:manualLayout>
          </c:layout>
          <c:overlay val="0"/>
        </c:title>
        <c:numFmt formatCode="General" sourceLinked="0"/>
        <c:majorTickMark val="out"/>
        <c:minorTickMark val="none"/>
        <c:tickLblPos val="nextTo"/>
        <c:txPr>
          <a:bodyPr rot="-2700000" vert="horz"/>
          <a:lstStyle/>
          <a:p>
            <a:pPr>
              <a:defRPr/>
            </a:pPr>
            <a:endParaRPr lang="pt-PT"/>
          </a:p>
        </c:txPr>
        <c:crossAx val="158391560"/>
        <c:crosses val="autoZero"/>
        <c:auto val="1"/>
        <c:lblAlgn val="ctr"/>
        <c:lblOffset val="100"/>
        <c:tickLblSkip val="3"/>
        <c:tickMarkSkip val="1"/>
        <c:noMultiLvlLbl val="1"/>
      </c:catAx>
      <c:valAx>
        <c:axId val="158391560"/>
        <c:scaling>
          <c:orientation val="minMax"/>
          <c:min val="0"/>
        </c:scaling>
        <c:delete val="0"/>
        <c:axPos val="l"/>
        <c:majorGridlines/>
        <c:title>
          <c:tx>
            <c:rich>
              <a:bodyPr/>
              <a:lstStyle/>
              <a:p>
                <a:pPr>
                  <a:defRPr/>
                </a:pPr>
                <a:r>
                  <a:rPr lang="en-US" sz="1400" b="1" i="0" u="none" strike="noStrike" kern="1200" baseline="0">
                    <a:solidFill>
                      <a:sysClr val="windowText" lastClr="000000"/>
                    </a:solidFill>
                    <a:latin typeface="+mn-lt"/>
                    <a:ea typeface="+mn-ea"/>
                    <a:cs typeface="+mn-cs"/>
                  </a:rPr>
                  <a:t>Work Item Hours</a:t>
                </a:r>
              </a:p>
            </c:rich>
          </c:tx>
          <c:layout>
            <c:manualLayout>
              <c:xMode val="edge"/>
              <c:yMode val="edge"/>
              <c:x val="1.5944844501274948E-2"/>
              <c:y val="0.182939237858428"/>
            </c:manualLayout>
          </c:layout>
          <c:overlay val="0"/>
        </c:title>
        <c:numFmt formatCode="General" sourceLinked="1"/>
        <c:majorTickMark val="out"/>
        <c:minorTickMark val="none"/>
        <c:tickLblPos val="nextTo"/>
        <c:txPr>
          <a:bodyPr rot="0" vert="horz"/>
          <a:lstStyle/>
          <a:p>
            <a:pPr>
              <a:defRPr/>
            </a:pPr>
            <a:endParaRPr lang="pt-PT"/>
          </a:p>
        </c:txPr>
        <c:crossAx val="158391168"/>
        <c:crossesAt val="1"/>
        <c:crossBetween val="midCat"/>
      </c:valAx>
      <c:spPr>
        <a:solidFill>
          <a:srgbClr val="FFFFFF"/>
        </a:solidFill>
      </c:spPr>
    </c:plotArea>
    <c:legend>
      <c:legendPos val="r"/>
      <c:layout>
        <c:manualLayout>
          <c:xMode val="edge"/>
          <c:yMode val="edge"/>
          <c:x val="2.1141254520704252E-2"/>
          <c:y val="0.88314329129911395"/>
          <c:w val="0.94998646536704257"/>
          <c:h val="8.2977127859017633E-2"/>
        </c:manualLayout>
      </c:layout>
      <c:overlay val="0"/>
    </c:legend>
    <c:plotVisOnly val="1"/>
    <c:dispBlanksAs val="zero"/>
    <c:showDLblsOverMax val="0"/>
  </c:chart>
  <c:spPr>
    <a:solidFill>
      <a:srgbClr val="FFFFFF"/>
    </a:solidFill>
  </c:spPr>
  <c:printSettings>
    <c:headerFooter/>
    <c:pageMargins b="0.75000000000000366" l="0.70000000000000062" r="0.70000000000000062" t="0.75000000000000366" header="0.30000000000000032" footer="0.30000000000000032"/>
    <c:pageSetup paperSize="0" orientation="portrait" horizontalDpi="0" verticalDpi="0" copies="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Workitem Cumulative Flow</a:t>
            </a:r>
          </a:p>
        </c:rich>
      </c:tx>
      <c:layout>
        <c:manualLayout>
          <c:xMode val="edge"/>
          <c:yMode val="edge"/>
          <c:x val="0.17505054923690092"/>
          <c:y val="3.8461645124548111E-2"/>
        </c:manualLayout>
      </c:layout>
      <c:overlay val="0"/>
    </c:title>
    <c:autoTitleDeleted val="0"/>
    <c:plotArea>
      <c:layout>
        <c:manualLayout>
          <c:layoutTarget val="inner"/>
          <c:xMode val="edge"/>
          <c:yMode val="edge"/>
          <c:x val="0.12577209098862638"/>
          <c:y val="0.16981163364466695"/>
          <c:w val="0.81713108778069421"/>
          <c:h val="0.54213915713366023"/>
        </c:manualLayout>
      </c:layout>
      <c:areaChart>
        <c:grouping val="stacked"/>
        <c:varyColors val="0"/>
        <c:ser>
          <c:idx val="0"/>
          <c:order val="0"/>
          <c:tx>
            <c:v>Complete</c:v>
          </c:tx>
          <c:spPr>
            <a:solidFill>
              <a:srgbClr val="00B050"/>
            </a:solidFill>
          </c:spPr>
          <c:val>
            <c:numRef>
              <c:f>[1]Analysis!$E$37:$R$37</c:f>
              <c:numCache>
                <c:formatCode>General</c:formatCode>
                <c:ptCount val="14"/>
                <c:pt idx="0">
                  <c:v>4</c:v>
                </c:pt>
                <c:pt idx="1">
                  <c:v>11</c:v>
                </c:pt>
                <c:pt idx="2">
                  <c:v>22</c:v>
                </c:pt>
                <c:pt idx="3">
                  <c:v>29</c:v>
                </c:pt>
                <c:pt idx="4">
                  <c:v>34</c:v>
                </c:pt>
                <c:pt idx="5">
                  <c:v>41</c:v>
                </c:pt>
                <c:pt idx="6">
                  <c:v>46</c:v>
                </c:pt>
                <c:pt idx="7">
                  <c:v>53</c:v>
                </c:pt>
                <c:pt idx="8">
                  <c:v>57</c:v>
                </c:pt>
                <c:pt idx="9">
                  <c:v>58</c:v>
                </c:pt>
                <c:pt idx="10">
                  <c:v>66</c:v>
                </c:pt>
                <c:pt idx="11">
                  <c:v>73</c:v>
                </c:pt>
                <c:pt idx="12">
                  <c:v>77</c:v>
                </c:pt>
                <c:pt idx="13">
                  <c:v>79</c:v>
                </c:pt>
              </c:numCache>
            </c:numRef>
          </c:val>
          <c:extLst>
            <c:ext xmlns:c15="http://schemas.microsoft.com/office/drawing/2012/chart" uri="{02D57815-91ED-43cb-92C2-25804820EDAC}">
              <c15:filteredCategoryTitle>
                <c15:cat>
                  <c:numRef>
                    <c:extLst>
                      <c:ext uri="{02D57815-91ED-43cb-92C2-25804820EDAC}">
                        <c15:formulaRef>
                          <c15:sqref>[1]Analysis!$E$19:$R$19</c15:sqref>
                        </c15:formulaRef>
                      </c:ext>
                    </c:extLst>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15:cat>
              </c15:filteredCategoryTitle>
            </c:ext>
            <c:ext xmlns:c16="http://schemas.microsoft.com/office/drawing/2014/chart" uri="{C3380CC4-5D6E-409C-BE32-E72D297353CC}">
              <c16:uniqueId val="{00000000-AE0B-4D78-B7DD-CAE62CF0755F}"/>
            </c:ext>
          </c:extLst>
        </c:ser>
        <c:ser>
          <c:idx val="1"/>
          <c:order val="1"/>
          <c:tx>
            <c:v>In Progress</c:v>
          </c:tx>
          <c:spPr>
            <a:solidFill>
              <a:srgbClr val="FFFF00"/>
            </a:solidFill>
          </c:spPr>
          <c:val>
            <c:numRef>
              <c:f>[1]Analysis!$E$36:$R$36</c:f>
              <c:numCache>
                <c:formatCode>General</c:formatCode>
                <c:ptCount val="14"/>
                <c:pt idx="0">
                  <c:v>9</c:v>
                </c:pt>
                <c:pt idx="1">
                  <c:v>12</c:v>
                </c:pt>
                <c:pt idx="2">
                  <c:v>11</c:v>
                </c:pt>
                <c:pt idx="3">
                  <c:v>13</c:v>
                </c:pt>
                <c:pt idx="4">
                  <c:v>13</c:v>
                </c:pt>
                <c:pt idx="5">
                  <c:v>9</c:v>
                </c:pt>
                <c:pt idx="6">
                  <c:v>7</c:v>
                </c:pt>
                <c:pt idx="7">
                  <c:v>2</c:v>
                </c:pt>
                <c:pt idx="8">
                  <c:v>7</c:v>
                </c:pt>
                <c:pt idx="9">
                  <c:v>12</c:v>
                </c:pt>
                <c:pt idx="10">
                  <c:v>7</c:v>
                </c:pt>
                <c:pt idx="11">
                  <c:v>4</c:v>
                </c:pt>
                <c:pt idx="12">
                  <c:v>2</c:v>
                </c:pt>
                <c:pt idx="13">
                  <c:v>0</c:v>
                </c:pt>
              </c:numCache>
            </c:numRef>
          </c:val>
          <c:extLst>
            <c:ext xmlns:c15="http://schemas.microsoft.com/office/drawing/2012/chart" uri="{02D57815-91ED-43cb-92C2-25804820EDAC}">
              <c15:filteredCategoryTitle>
                <c15:cat>
                  <c:numRef>
                    <c:extLst>
                      <c:ext uri="{02D57815-91ED-43cb-92C2-25804820EDAC}">
                        <c15:formulaRef>
                          <c15:sqref>[1]Analysis!$E$19:$R$19</c15:sqref>
                        </c15:formulaRef>
                      </c:ext>
                    </c:extLst>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15:cat>
              </c15:filteredCategoryTitle>
            </c:ext>
            <c:ext xmlns:c16="http://schemas.microsoft.com/office/drawing/2014/chart" uri="{C3380CC4-5D6E-409C-BE32-E72D297353CC}">
              <c16:uniqueId val="{00000001-AE0B-4D78-B7DD-CAE62CF0755F}"/>
            </c:ext>
          </c:extLst>
        </c:ser>
        <c:ser>
          <c:idx val="2"/>
          <c:order val="2"/>
          <c:tx>
            <c:v>Pending</c:v>
          </c:tx>
          <c:spPr>
            <a:solidFill>
              <a:schemeClr val="bg2">
                <a:lumMod val="90000"/>
              </a:schemeClr>
            </a:solidFill>
          </c:spPr>
          <c:val>
            <c:numRef>
              <c:f>[1]Analysis!$E$35:$R$35</c:f>
              <c:numCache>
                <c:formatCode>General</c:formatCode>
                <c:ptCount val="14"/>
                <c:pt idx="0">
                  <c:v>66</c:v>
                </c:pt>
                <c:pt idx="1">
                  <c:v>56</c:v>
                </c:pt>
                <c:pt idx="2">
                  <c:v>46</c:v>
                </c:pt>
                <c:pt idx="3">
                  <c:v>36</c:v>
                </c:pt>
                <c:pt idx="4">
                  <c:v>32</c:v>
                </c:pt>
                <c:pt idx="5">
                  <c:v>29</c:v>
                </c:pt>
                <c:pt idx="6">
                  <c:v>26</c:v>
                </c:pt>
                <c:pt idx="7">
                  <c:v>24</c:v>
                </c:pt>
                <c:pt idx="8">
                  <c:v>15</c:v>
                </c:pt>
                <c:pt idx="9">
                  <c:v>9</c:v>
                </c:pt>
                <c:pt idx="10">
                  <c:v>6</c:v>
                </c:pt>
                <c:pt idx="11">
                  <c:v>2</c:v>
                </c:pt>
                <c:pt idx="12">
                  <c:v>0</c:v>
                </c:pt>
                <c:pt idx="13">
                  <c:v>0</c:v>
                </c:pt>
              </c:numCache>
            </c:numRef>
          </c:val>
          <c:extLst>
            <c:ext xmlns:c16="http://schemas.microsoft.com/office/drawing/2014/chart" uri="{C3380CC4-5D6E-409C-BE32-E72D297353CC}">
              <c16:uniqueId val="{00000002-AE0B-4D78-B7DD-CAE62CF0755F}"/>
            </c:ext>
          </c:extLst>
        </c:ser>
        <c:dLbls>
          <c:showLegendKey val="0"/>
          <c:showVal val="0"/>
          <c:showCatName val="0"/>
          <c:showSerName val="0"/>
          <c:showPercent val="0"/>
          <c:showBubbleSize val="0"/>
        </c:dLbls>
        <c:axId val="158390776"/>
        <c:axId val="158388816"/>
      </c:areaChart>
      <c:catAx>
        <c:axId val="158390776"/>
        <c:scaling>
          <c:orientation val="minMax"/>
        </c:scaling>
        <c:delete val="0"/>
        <c:axPos val="b"/>
        <c:title>
          <c:tx>
            <c:rich>
              <a:bodyPr/>
              <a:lstStyle/>
              <a:p>
                <a:pPr>
                  <a:defRPr sz="1400"/>
                </a:pPr>
                <a:r>
                  <a:rPr lang="en-US" sz="1400"/>
                  <a:t>Days</a:t>
                </a:r>
              </a:p>
            </c:rich>
          </c:tx>
          <c:layout>
            <c:manualLayout>
              <c:xMode val="edge"/>
              <c:yMode val="edge"/>
              <c:x val="0.51515407796247692"/>
              <c:y val="0.79516822661318864"/>
            </c:manualLayout>
          </c:layout>
          <c:overlay val="0"/>
        </c:title>
        <c:numFmt formatCode="General" sourceLinked="0"/>
        <c:majorTickMark val="out"/>
        <c:minorTickMark val="none"/>
        <c:tickLblPos val="nextTo"/>
        <c:txPr>
          <a:bodyPr rot="-2700000" vert="horz"/>
          <a:lstStyle/>
          <a:p>
            <a:pPr>
              <a:defRPr/>
            </a:pPr>
            <a:endParaRPr lang="pt-PT"/>
          </a:p>
        </c:txPr>
        <c:crossAx val="158388816"/>
        <c:crosses val="autoZero"/>
        <c:auto val="1"/>
        <c:lblAlgn val="ctr"/>
        <c:lblOffset val="100"/>
        <c:tickLblSkip val="3"/>
        <c:tickMarkSkip val="1"/>
        <c:noMultiLvlLbl val="1"/>
      </c:catAx>
      <c:valAx>
        <c:axId val="158388816"/>
        <c:scaling>
          <c:orientation val="minMax"/>
          <c:min val="0"/>
        </c:scaling>
        <c:delete val="0"/>
        <c:axPos val="l"/>
        <c:majorGridlines/>
        <c:title>
          <c:tx>
            <c:rich>
              <a:bodyPr/>
              <a:lstStyle/>
              <a:p>
                <a:pPr>
                  <a:defRPr sz="1400"/>
                </a:pPr>
                <a:r>
                  <a:rPr lang="en-US" sz="1400"/>
                  <a:t>Work Item Count</a:t>
                </a:r>
              </a:p>
            </c:rich>
          </c:tx>
          <c:layout>
            <c:manualLayout>
              <c:xMode val="edge"/>
              <c:yMode val="edge"/>
              <c:x val="3.6927621861152143E-2"/>
              <c:y val="0.22115384615384612"/>
            </c:manualLayout>
          </c:layout>
          <c:overlay val="0"/>
        </c:title>
        <c:numFmt formatCode="General" sourceLinked="1"/>
        <c:majorTickMark val="out"/>
        <c:minorTickMark val="none"/>
        <c:tickLblPos val="none"/>
        <c:crossAx val="158390776"/>
        <c:crossesAt val="1"/>
        <c:crossBetween val="midCat"/>
        <c:majorUnit val="2"/>
        <c:minorUnit val="1"/>
      </c:valAx>
      <c:spPr>
        <a:solidFill>
          <a:schemeClr val="bg1">
            <a:lumMod val="20000"/>
            <a:lumOff val="80000"/>
          </a:schemeClr>
        </a:solidFill>
      </c:spPr>
    </c:plotArea>
    <c:legend>
      <c:legendPos val="r"/>
      <c:layout>
        <c:manualLayout>
          <c:xMode val="edge"/>
          <c:yMode val="edge"/>
          <c:x val="2.9537523087391854E-2"/>
          <c:y val="0.89894161343040391"/>
          <c:w val="0.92308569067755464"/>
          <c:h val="7.5018075570742374E-2"/>
        </c:manualLayout>
      </c:layout>
      <c:overlay val="0"/>
    </c:legend>
    <c:plotVisOnly val="1"/>
    <c:dispBlanksAs val="zero"/>
    <c:showDLblsOverMax val="0"/>
  </c:chart>
  <c:spPr>
    <a:solidFill>
      <a:srgbClr val="FFFFFF"/>
    </a:solidFill>
  </c:spPr>
  <c:printSettings>
    <c:headerFooter/>
    <c:pageMargins b="0.75000000000000366" l="0.70000000000000062" r="0.70000000000000062" t="0.75000000000000366" header="0.30000000000000032" footer="0.30000000000000032"/>
    <c:pageSetup paperSize="0" orientation="portrait" horizontalDpi="0" verticalDpi="0" copies="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Hours Burndown with Cumulative Flow</a:t>
            </a:r>
          </a:p>
        </c:rich>
      </c:tx>
      <c:layout>
        <c:manualLayout>
          <c:xMode val="edge"/>
          <c:yMode val="edge"/>
          <c:x val="0.22098421541318475"/>
          <c:y val="3.8369304556354941E-2"/>
        </c:manualLayout>
      </c:layout>
      <c:overlay val="0"/>
    </c:title>
    <c:autoTitleDeleted val="0"/>
    <c:plotArea>
      <c:layout>
        <c:manualLayout>
          <c:layoutTarget val="inner"/>
          <c:xMode val="edge"/>
          <c:yMode val="edge"/>
          <c:x val="0.1011257386832118"/>
          <c:y val="0.17669172932330818"/>
          <c:w val="0.87100657289633654"/>
          <c:h val="0.46992481203007747"/>
        </c:manualLayout>
      </c:layout>
      <c:areaChart>
        <c:grouping val="stacked"/>
        <c:varyColors val="0"/>
        <c:ser>
          <c:idx val="0"/>
          <c:order val="0"/>
          <c:tx>
            <c:v>Complete</c:v>
          </c:tx>
          <c:spPr>
            <a:solidFill>
              <a:srgbClr val="00B050"/>
            </a:solidFill>
          </c:spPr>
          <c:val>
            <c:numRef>
              <c:f>[1]Analysis!$E$33:$R$33</c:f>
              <c:numCache>
                <c:formatCode>General</c:formatCode>
                <c:ptCount val="14"/>
                <c:pt idx="0">
                  <c:v>17</c:v>
                </c:pt>
                <c:pt idx="1">
                  <c:v>46</c:v>
                </c:pt>
                <c:pt idx="2">
                  <c:v>94</c:v>
                </c:pt>
                <c:pt idx="3">
                  <c:v>126</c:v>
                </c:pt>
                <c:pt idx="4">
                  <c:v>149</c:v>
                </c:pt>
                <c:pt idx="5">
                  <c:v>188</c:v>
                </c:pt>
                <c:pt idx="6">
                  <c:v>220</c:v>
                </c:pt>
                <c:pt idx="7">
                  <c:v>256</c:v>
                </c:pt>
                <c:pt idx="8">
                  <c:v>275</c:v>
                </c:pt>
                <c:pt idx="9">
                  <c:v>283</c:v>
                </c:pt>
                <c:pt idx="10">
                  <c:v>318</c:v>
                </c:pt>
                <c:pt idx="11">
                  <c:v>357</c:v>
                </c:pt>
                <c:pt idx="12">
                  <c:v>372</c:v>
                </c:pt>
                <c:pt idx="13">
                  <c:v>386</c:v>
                </c:pt>
              </c:numCache>
            </c:numRef>
          </c:val>
          <c:extLst>
            <c:ext xmlns:c15="http://schemas.microsoft.com/office/drawing/2012/chart" uri="{02D57815-91ED-43cb-92C2-25804820EDAC}">
              <c15:filteredCategoryTitle>
                <c15:cat>
                  <c:numRef>
                    <c:extLst>
                      <c:ext uri="{02D57815-91ED-43cb-92C2-25804820EDAC}">
                        <c15:formulaRef>
                          <c15:sqref>[1]Analysis!$E$19:$R$19</c15:sqref>
                        </c15:formulaRef>
                      </c:ext>
                    </c:extLst>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15:cat>
              </c15:filteredCategoryTitle>
            </c:ext>
            <c:ext xmlns:c16="http://schemas.microsoft.com/office/drawing/2014/chart" uri="{C3380CC4-5D6E-409C-BE32-E72D297353CC}">
              <c16:uniqueId val="{00000000-F68C-4277-A83C-A889C53DC4CC}"/>
            </c:ext>
          </c:extLst>
        </c:ser>
        <c:ser>
          <c:idx val="1"/>
          <c:order val="1"/>
          <c:tx>
            <c:v>In Progress</c:v>
          </c:tx>
          <c:spPr>
            <a:solidFill>
              <a:srgbClr val="FFFF00"/>
            </a:solidFill>
          </c:spPr>
          <c:val>
            <c:numRef>
              <c:f>[1]Analysis!$E$32:$R$32</c:f>
              <c:numCache>
                <c:formatCode>0</c:formatCode>
                <c:ptCount val="14"/>
                <c:pt idx="0">
                  <c:v>43</c:v>
                </c:pt>
                <c:pt idx="1">
                  <c:v>59</c:v>
                </c:pt>
                <c:pt idx="2">
                  <c:v>62</c:v>
                </c:pt>
                <c:pt idx="3">
                  <c:v>79</c:v>
                </c:pt>
                <c:pt idx="4">
                  <c:v>78</c:v>
                </c:pt>
                <c:pt idx="5">
                  <c:v>55</c:v>
                </c:pt>
                <c:pt idx="6">
                  <c:v>36</c:v>
                </c:pt>
                <c:pt idx="7">
                  <c:v>12</c:v>
                </c:pt>
                <c:pt idx="8">
                  <c:v>36</c:v>
                </c:pt>
                <c:pt idx="9">
                  <c:v>63</c:v>
                </c:pt>
                <c:pt idx="10">
                  <c:v>39</c:v>
                </c:pt>
                <c:pt idx="11">
                  <c:v>15</c:v>
                </c:pt>
                <c:pt idx="12">
                  <c:v>14</c:v>
                </c:pt>
                <c:pt idx="13">
                  <c:v>0</c:v>
                </c:pt>
              </c:numCache>
            </c:numRef>
          </c:val>
          <c:extLst>
            <c:ext xmlns:c15="http://schemas.microsoft.com/office/drawing/2012/chart" uri="{02D57815-91ED-43cb-92C2-25804820EDAC}">
              <c15:filteredCategoryTitle>
                <c15:cat>
                  <c:numRef>
                    <c:extLst>
                      <c:ext uri="{02D57815-91ED-43cb-92C2-25804820EDAC}">
                        <c15:formulaRef>
                          <c15:sqref>[1]Analysis!$E$19:$R$19</c15:sqref>
                        </c15:formulaRef>
                      </c:ext>
                    </c:extLst>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15:cat>
              </c15:filteredCategoryTitle>
            </c:ext>
            <c:ext xmlns:c16="http://schemas.microsoft.com/office/drawing/2014/chart" uri="{C3380CC4-5D6E-409C-BE32-E72D297353CC}">
              <c16:uniqueId val="{00000001-F68C-4277-A83C-A889C53DC4CC}"/>
            </c:ext>
          </c:extLst>
        </c:ser>
        <c:ser>
          <c:idx val="2"/>
          <c:order val="2"/>
          <c:tx>
            <c:v>Pending</c:v>
          </c:tx>
          <c:spPr>
            <a:solidFill>
              <a:schemeClr val="bg2">
                <a:lumMod val="90000"/>
              </a:schemeClr>
            </a:solidFill>
          </c:spPr>
          <c:val>
            <c:numRef>
              <c:f>[1]Analysis!$E$31:$R$31</c:f>
              <c:numCache>
                <c:formatCode>General</c:formatCode>
                <c:ptCount val="14"/>
                <c:pt idx="0">
                  <c:v>323</c:v>
                </c:pt>
                <c:pt idx="1">
                  <c:v>278</c:v>
                </c:pt>
                <c:pt idx="2">
                  <c:v>227</c:v>
                </c:pt>
                <c:pt idx="3">
                  <c:v>178</c:v>
                </c:pt>
                <c:pt idx="4">
                  <c:v>158</c:v>
                </c:pt>
                <c:pt idx="5">
                  <c:v>142</c:v>
                </c:pt>
                <c:pt idx="6">
                  <c:v>130</c:v>
                </c:pt>
                <c:pt idx="7">
                  <c:v>118</c:v>
                </c:pt>
                <c:pt idx="8">
                  <c:v>75</c:v>
                </c:pt>
                <c:pt idx="9">
                  <c:v>40</c:v>
                </c:pt>
                <c:pt idx="10">
                  <c:v>29</c:v>
                </c:pt>
                <c:pt idx="11">
                  <c:v>14</c:v>
                </c:pt>
                <c:pt idx="12">
                  <c:v>0</c:v>
                </c:pt>
                <c:pt idx="13">
                  <c:v>0</c:v>
                </c:pt>
              </c:numCache>
            </c:numRef>
          </c:val>
          <c:extLst>
            <c:ext xmlns:c15="http://schemas.microsoft.com/office/drawing/2012/chart" uri="{02D57815-91ED-43cb-92C2-25804820EDAC}">
              <c15:filteredCategoryTitle>
                <c15:cat>
                  <c:numRef>
                    <c:extLst>
                      <c:ext uri="{02D57815-91ED-43cb-92C2-25804820EDAC}">
                        <c15:formulaRef>
                          <c15:sqref>[1]Analysis!$E$19:$R$19</c15:sqref>
                        </c15:formulaRef>
                      </c:ext>
                    </c:extLst>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15:cat>
              </c15:filteredCategoryTitle>
            </c:ext>
            <c:ext xmlns:c16="http://schemas.microsoft.com/office/drawing/2014/chart" uri="{C3380CC4-5D6E-409C-BE32-E72D297353CC}">
              <c16:uniqueId val="{00000002-F68C-4277-A83C-A889C53DC4CC}"/>
            </c:ext>
          </c:extLst>
        </c:ser>
        <c:dLbls>
          <c:showLegendKey val="0"/>
          <c:showVal val="0"/>
          <c:showCatName val="0"/>
          <c:showSerName val="0"/>
          <c:showPercent val="0"/>
          <c:showBubbleSize val="0"/>
        </c:dLbls>
        <c:axId val="158391168"/>
        <c:axId val="158391560"/>
      </c:areaChart>
      <c:lineChart>
        <c:grouping val="standard"/>
        <c:varyColors val="0"/>
        <c:ser>
          <c:idx val="3"/>
          <c:order val="3"/>
          <c:tx>
            <c:v>Remaining</c:v>
          </c:tx>
          <c:spPr>
            <a:ln w="25400">
              <a:solidFill>
                <a:schemeClr val="accent6"/>
              </a:solidFill>
            </a:ln>
          </c:spPr>
          <c:marker>
            <c:symbol val="x"/>
            <c:size val="3"/>
            <c:spPr>
              <a:solidFill>
                <a:schemeClr val="accent6"/>
              </a:solidFill>
              <a:ln w="3175"/>
            </c:spPr>
          </c:marker>
          <c:trendline>
            <c:spPr>
              <a:ln w="12700">
                <a:solidFill>
                  <a:srgbClr val="FF0000"/>
                </a:solidFill>
                <a:prstDash val="dash"/>
              </a:ln>
            </c:spPr>
            <c:trendlineType val="linear"/>
            <c:dispRSqr val="0"/>
            <c:dispEq val="0"/>
          </c:trendline>
          <c:val>
            <c:numRef>
              <c:f>[1]Analysis!$E$22:$R$22</c:f>
              <c:numCache>
                <c:formatCode>General</c:formatCode>
                <c:ptCount val="14"/>
                <c:pt idx="0">
                  <c:v>343</c:v>
                </c:pt>
                <c:pt idx="1">
                  <c:v>304</c:v>
                </c:pt>
                <c:pt idx="2">
                  <c:v>262</c:v>
                </c:pt>
                <c:pt idx="3">
                  <c:v>221</c:v>
                </c:pt>
                <c:pt idx="4">
                  <c:v>193</c:v>
                </c:pt>
                <c:pt idx="5">
                  <c:v>167</c:v>
                </c:pt>
                <c:pt idx="6">
                  <c:v>143</c:v>
                </c:pt>
                <c:pt idx="7">
                  <c:v>124</c:v>
                </c:pt>
                <c:pt idx="8">
                  <c:v>95</c:v>
                </c:pt>
                <c:pt idx="9">
                  <c:v>69</c:v>
                </c:pt>
                <c:pt idx="10">
                  <c:v>40</c:v>
                </c:pt>
                <c:pt idx="11">
                  <c:v>20</c:v>
                </c:pt>
                <c:pt idx="12">
                  <c:v>8</c:v>
                </c:pt>
                <c:pt idx="13">
                  <c:v>0</c:v>
                </c:pt>
              </c:numCache>
            </c:numRef>
          </c:val>
          <c:smooth val="0"/>
          <c:extLst>
            <c:ext xmlns:c15="http://schemas.microsoft.com/office/drawing/2012/chart" uri="{02D57815-91ED-43cb-92C2-25804820EDAC}">
              <c15:filteredCategoryTitle>
                <c15:cat>
                  <c:numRef>
                    <c:extLst>
                      <c:ext uri="{02D57815-91ED-43cb-92C2-25804820EDAC}">
                        <c15:formulaRef>
                          <c15:sqref>[1]Analysis!$E$19:$R$19</c15:sqref>
                        </c15:formulaRef>
                      </c:ext>
                    </c:extLst>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15:cat>
              </c15:filteredCategoryTitle>
            </c:ext>
            <c:ext xmlns:c16="http://schemas.microsoft.com/office/drawing/2014/chart" uri="{C3380CC4-5D6E-409C-BE32-E72D297353CC}">
              <c16:uniqueId val="{00000004-F68C-4277-A83C-A889C53DC4CC}"/>
            </c:ext>
          </c:extLst>
        </c:ser>
        <c:ser>
          <c:idx val="4"/>
          <c:order val="4"/>
          <c:tx>
            <c:v>Effort</c:v>
          </c:tx>
          <c:spPr>
            <a:ln w="25400">
              <a:solidFill>
                <a:schemeClr val="accent1"/>
              </a:solidFill>
            </a:ln>
          </c:spPr>
          <c:marker>
            <c:symbol val="circle"/>
            <c:size val="3"/>
            <c:spPr>
              <a:solidFill>
                <a:schemeClr val="accent1"/>
              </a:solidFill>
              <a:ln w="3175"/>
            </c:spPr>
          </c:marker>
          <c:val>
            <c:numRef>
              <c:f>[1]Analysis!$E$24:$R$24</c:f>
              <c:numCache>
                <c:formatCode>General</c:formatCode>
                <c:ptCount val="14"/>
                <c:pt idx="0">
                  <c:v>40</c:v>
                </c:pt>
                <c:pt idx="1">
                  <c:v>79</c:v>
                </c:pt>
                <c:pt idx="2">
                  <c:v>121</c:v>
                </c:pt>
                <c:pt idx="3">
                  <c:v>162</c:v>
                </c:pt>
                <c:pt idx="4">
                  <c:v>192</c:v>
                </c:pt>
                <c:pt idx="5">
                  <c:v>218</c:v>
                </c:pt>
                <c:pt idx="6">
                  <c:v>243</c:v>
                </c:pt>
                <c:pt idx="7">
                  <c:v>262</c:v>
                </c:pt>
                <c:pt idx="8">
                  <c:v>291</c:v>
                </c:pt>
                <c:pt idx="9">
                  <c:v>317</c:v>
                </c:pt>
                <c:pt idx="10">
                  <c:v>346</c:v>
                </c:pt>
                <c:pt idx="11">
                  <c:v>366</c:v>
                </c:pt>
                <c:pt idx="12">
                  <c:v>378</c:v>
                </c:pt>
                <c:pt idx="13">
                  <c:v>386</c:v>
                </c:pt>
              </c:numCache>
            </c:numRef>
          </c:val>
          <c:smooth val="1"/>
          <c:extLst>
            <c:ext xmlns:c16="http://schemas.microsoft.com/office/drawing/2014/chart" uri="{C3380CC4-5D6E-409C-BE32-E72D297353CC}">
              <c16:uniqueId val="{00000005-F68C-4277-A83C-A889C53DC4CC}"/>
            </c:ext>
          </c:extLst>
        </c:ser>
        <c:dLbls>
          <c:showLegendKey val="0"/>
          <c:showVal val="0"/>
          <c:showCatName val="0"/>
          <c:showSerName val="0"/>
          <c:showPercent val="0"/>
          <c:showBubbleSize val="0"/>
        </c:dLbls>
        <c:marker val="1"/>
        <c:smooth val="0"/>
        <c:axId val="158391168"/>
        <c:axId val="158391560"/>
      </c:lineChart>
      <c:catAx>
        <c:axId val="158391168"/>
        <c:scaling>
          <c:orientation val="minMax"/>
        </c:scaling>
        <c:delete val="0"/>
        <c:axPos val="b"/>
        <c:title>
          <c:tx>
            <c:rich>
              <a:bodyPr/>
              <a:lstStyle/>
              <a:p>
                <a:pPr algn="ctr" rtl="0">
                  <a:defRPr lang="en-US" sz="1400" b="1" i="0" u="none" strike="noStrike" kern="1200" baseline="0">
                    <a:solidFill>
                      <a:sysClr val="windowText" lastClr="000000"/>
                    </a:solidFill>
                    <a:latin typeface="+mn-lt"/>
                    <a:ea typeface="+mn-ea"/>
                    <a:cs typeface="+mn-cs"/>
                  </a:defRPr>
                </a:pPr>
                <a:r>
                  <a:rPr lang="en-US" sz="1400" b="1" i="0" u="none" strike="noStrike" kern="1200" baseline="0">
                    <a:solidFill>
                      <a:sysClr val="windowText" lastClr="000000"/>
                    </a:solidFill>
                    <a:latin typeface="+mn-lt"/>
                    <a:ea typeface="+mn-ea"/>
                    <a:cs typeface="+mn-cs"/>
                  </a:rPr>
                  <a:t>Days</a:t>
                </a:r>
              </a:p>
            </c:rich>
          </c:tx>
          <c:layout>
            <c:manualLayout>
              <c:xMode val="edge"/>
              <c:yMode val="edge"/>
              <c:x val="0.46346112718816135"/>
              <c:y val="0.7504193554753027"/>
            </c:manualLayout>
          </c:layout>
          <c:overlay val="0"/>
        </c:title>
        <c:numFmt formatCode="General" sourceLinked="0"/>
        <c:majorTickMark val="out"/>
        <c:minorTickMark val="none"/>
        <c:tickLblPos val="nextTo"/>
        <c:txPr>
          <a:bodyPr rot="-2700000" vert="horz"/>
          <a:lstStyle/>
          <a:p>
            <a:pPr>
              <a:defRPr/>
            </a:pPr>
            <a:endParaRPr lang="pt-PT"/>
          </a:p>
        </c:txPr>
        <c:crossAx val="158391560"/>
        <c:crosses val="autoZero"/>
        <c:auto val="1"/>
        <c:lblAlgn val="ctr"/>
        <c:lblOffset val="100"/>
        <c:tickLblSkip val="3"/>
        <c:tickMarkSkip val="1"/>
        <c:noMultiLvlLbl val="1"/>
      </c:catAx>
      <c:valAx>
        <c:axId val="158391560"/>
        <c:scaling>
          <c:orientation val="minMax"/>
          <c:min val="0"/>
        </c:scaling>
        <c:delete val="0"/>
        <c:axPos val="l"/>
        <c:majorGridlines/>
        <c:title>
          <c:tx>
            <c:rich>
              <a:bodyPr/>
              <a:lstStyle/>
              <a:p>
                <a:pPr>
                  <a:defRPr/>
                </a:pPr>
                <a:r>
                  <a:rPr lang="en-US" sz="1400" b="1" i="0" u="none" strike="noStrike" kern="1200" baseline="0">
                    <a:solidFill>
                      <a:sysClr val="windowText" lastClr="000000"/>
                    </a:solidFill>
                    <a:latin typeface="+mn-lt"/>
                    <a:ea typeface="+mn-ea"/>
                    <a:cs typeface="+mn-cs"/>
                  </a:rPr>
                  <a:t>Work Item Hours</a:t>
                </a:r>
              </a:p>
            </c:rich>
          </c:tx>
          <c:layout>
            <c:manualLayout>
              <c:xMode val="edge"/>
              <c:yMode val="edge"/>
              <c:x val="1.5944844501274948E-2"/>
              <c:y val="0.182939237858428"/>
            </c:manualLayout>
          </c:layout>
          <c:overlay val="0"/>
        </c:title>
        <c:numFmt formatCode="General" sourceLinked="1"/>
        <c:majorTickMark val="out"/>
        <c:minorTickMark val="none"/>
        <c:tickLblPos val="nextTo"/>
        <c:txPr>
          <a:bodyPr rot="0" vert="horz"/>
          <a:lstStyle/>
          <a:p>
            <a:pPr>
              <a:defRPr/>
            </a:pPr>
            <a:endParaRPr lang="pt-PT"/>
          </a:p>
        </c:txPr>
        <c:crossAx val="158391168"/>
        <c:crossesAt val="1"/>
        <c:crossBetween val="midCat"/>
      </c:valAx>
      <c:spPr>
        <a:solidFill>
          <a:srgbClr val="FFFFFF"/>
        </a:solidFill>
      </c:spPr>
    </c:plotArea>
    <c:legend>
      <c:legendPos val="r"/>
      <c:layout>
        <c:manualLayout>
          <c:xMode val="edge"/>
          <c:yMode val="edge"/>
          <c:x val="2.1141254520704252E-2"/>
          <c:y val="0.88314329129911395"/>
          <c:w val="0.94998646536704257"/>
          <c:h val="8.2977127859017633E-2"/>
        </c:manualLayout>
      </c:layout>
      <c:overlay val="0"/>
    </c:legend>
    <c:plotVisOnly val="1"/>
    <c:dispBlanksAs val="zero"/>
    <c:showDLblsOverMax val="0"/>
  </c:chart>
  <c:spPr>
    <a:solidFill>
      <a:srgbClr val="FFFFFF"/>
    </a:solidFill>
  </c:spPr>
  <c:printSettings>
    <c:headerFooter/>
    <c:pageMargins b="0.75000000000000366" l="0.70000000000000062" r="0.70000000000000062" t="0.75000000000000366" header="0.30000000000000032" footer="0.30000000000000032"/>
    <c:pageSetup paperSize="0" orientation="portrait" horizontalDpi="0" verticalDpi="0" copies="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Workitem Cumulative Flow</a:t>
            </a:r>
          </a:p>
        </c:rich>
      </c:tx>
      <c:layout>
        <c:manualLayout>
          <c:xMode val="edge"/>
          <c:yMode val="edge"/>
          <c:x val="0.17505054923690092"/>
          <c:y val="3.8461645124548111E-2"/>
        </c:manualLayout>
      </c:layout>
      <c:overlay val="0"/>
    </c:title>
    <c:autoTitleDeleted val="0"/>
    <c:plotArea>
      <c:layout>
        <c:manualLayout>
          <c:layoutTarget val="inner"/>
          <c:xMode val="edge"/>
          <c:yMode val="edge"/>
          <c:x val="0.12577209098862638"/>
          <c:y val="0.16981163364466695"/>
          <c:w val="0.81713108778069421"/>
          <c:h val="0.54213915713366023"/>
        </c:manualLayout>
      </c:layout>
      <c:areaChart>
        <c:grouping val="stacked"/>
        <c:varyColors val="0"/>
        <c:ser>
          <c:idx val="0"/>
          <c:order val="0"/>
          <c:tx>
            <c:v>Complete</c:v>
          </c:tx>
          <c:spPr>
            <a:solidFill>
              <a:srgbClr val="00B050"/>
            </a:solidFill>
          </c:spPr>
          <c:val>
            <c:numRef>
              <c:f>[1]Analysis!$E$37:$R$37</c:f>
              <c:numCache>
                <c:formatCode>General</c:formatCode>
                <c:ptCount val="14"/>
                <c:pt idx="0">
                  <c:v>4</c:v>
                </c:pt>
                <c:pt idx="1">
                  <c:v>11</c:v>
                </c:pt>
                <c:pt idx="2">
                  <c:v>22</c:v>
                </c:pt>
                <c:pt idx="3">
                  <c:v>29</c:v>
                </c:pt>
                <c:pt idx="4">
                  <c:v>34</c:v>
                </c:pt>
                <c:pt idx="5">
                  <c:v>41</c:v>
                </c:pt>
                <c:pt idx="6">
                  <c:v>46</c:v>
                </c:pt>
                <c:pt idx="7">
                  <c:v>53</c:v>
                </c:pt>
                <c:pt idx="8">
                  <c:v>57</c:v>
                </c:pt>
                <c:pt idx="9">
                  <c:v>58</c:v>
                </c:pt>
                <c:pt idx="10">
                  <c:v>66</c:v>
                </c:pt>
                <c:pt idx="11">
                  <c:v>73</c:v>
                </c:pt>
                <c:pt idx="12">
                  <c:v>77</c:v>
                </c:pt>
                <c:pt idx="13">
                  <c:v>79</c:v>
                </c:pt>
              </c:numCache>
            </c:numRef>
          </c:val>
          <c:extLst>
            <c:ext xmlns:c15="http://schemas.microsoft.com/office/drawing/2012/chart" uri="{02D57815-91ED-43cb-92C2-25804820EDAC}">
              <c15:filteredCategoryTitle>
                <c15:cat>
                  <c:numRef>
                    <c:extLst>
                      <c:ext uri="{02D57815-91ED-43cb-92C2-25804820EDAC}">
                        <c15:formulaRef>
                          <c15:sqref>[1]Analysis!$E$19:$R$19</c15:sqref>
                        </c15:formulaRef>
                      </c:ext>
                    </c:extLst>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15:cat>
              </c15:filteredCategoryTitle>
            </c:ext>
            <c:ext xmlns:c16="http://schemas.microsoft.com/office/drawing/2014/chart" uri="{C3380CC4-5D6E-409C-BE32-E72D297353CC}">
              <c16:uniqueId val="{00000000-EEB7-4FFA-992C-601266334190}"/>
            </c:ext>
          </c:extLst>
        </c:ser>
        <c:ser>
          <c:idx val="1"/>
          <c:order val="1"/>
          <c:tx>
            <c:v>In Progress</c:v>
          </c:tx>
          <c:spPr>
            <a:solidFill>
              <a:srgbClr val="FFFF00"/>
            </a:solidFill>
          </c:spPr>
          <c:val>
            <c:numRef>
              <c:f>[1]Analysis!$E$36:$R$36</c:f>
              <c:numCache>
                <c:formatCode>General</c:formatCode>
                <c:ptCount val="14"/>
                <c:pt idx="0">
                  <c:v>9</c:v>
                </c:pt>
                <c:pt idx="1">
                  <c:v>12</c:v>
                </c:pt>
                <c:pt idx="2">
                  <c:v>11</c:v>
                </c:pt>
                <c:pt idx="3">
                  <c:v>13</c:v>
                </c:pt>
                <c:pt idx="4">
                  <c:v>13</c:v>
                </c:pt>
                <c:pt idx="5">
                  <c:v>9</c:v>
                </c:pt>
                <c:pt idx="6">
                  <c:v>7</c:v>
                </c:pt>
                <c:pt idx="7">
                  <c:v>2</c:v>
                </c:pt>
                <c:pt idx="8">
                  <c:v>7</c:v>
                </c:pt>
                <c:pt idx="9">
                  <c:v>12</c:v>
                </c:pt>
                <c:pt idx="10">
                  <c:v>7</c:v>
                </c:pt>
                <c:pt idx="11">
                  <c:v>4</c:v>
                </c:pt>
                <c:pt idx="12">
                  <c:v>2</c:v>
                </c:pt>
                <c:pt idx="13">
                  <c:v>0</c:v>
                </c:pt>
              </c:numCache>
            </c:numRef>
          </c:val>
          <c:extLst>
            <c:ext xmlns:c15="http://schemas.microsoft.com/office/drawing/2012/chart" uri="{02D57815-91ED-43cb-92C2-25804820EDAC}">
              <c15:filteredCategoryTitle>
                <c15:cat>
                  <c:numRef>
                    <c:extLst>
                      <c:ext uri="{02D57815-91ED-43cb-92C2-25804820EDAC}">
                        <c15:formulaRef>
                          <c15:sqref>[1]Analysis!$E$19:$R$19</c15:sqref>
                        </c15:formulaRef>
                      </c:ext>
                    </c:extLst>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15:cat>
              </c15:filteredCategoryTitle>
            </c:ext>
            <c:ext xmlns:c16="http://schemas.microsoft.com/office/drawing/2014/chart" uri="{C3380CC4-5D6E-409C-BE32-E72D297353CC}">
              <c16:uniqueId val="{00000001-EEB7-4FFA-992C-601266334190}"/>
            </c:ext>
          </c:extLst>
        </c:ser>
        <c:ser>
          <c:idx val="2"/>
          <c:order val="2"/>
          <c:tx>
            <c:v>Pending</c:v>
          </c:tx>
          <c:spPr>
            <a:solidFill>
              <a:schemeClr val="bg2">
                <a:lumMod val="90000"/>
              </a:schemeClr>
            </a:solidFill>
          </c:spPr>
          <c:val>
            <c:numRef>
              <c:f>[1]Analysis!$E$35:$R$35</c:f>
              <c:numCache>
                <c:formatCode>General</c:formatCode>
                <c:ptCount val="14"/>
                <c:pt idx="0">
                  <c:v>66</c:v>
                </c:pt>
                <c:pt idx="1">
                  <c:v>56</c:v>
                </c:pt>
                <c:pt idx="2">
                  <c:v>46</c:v>
                </c:pt>
                <c:pt idx="3">
                  <c:v>36</c:v>
                </c:pt>
                <c:pt idx="4">
                  <c:v>32</c:v>
                </c:pt>
                <c:pt idx="5">
                  <c:v>29</c:v>
                </c:pt>
                <c:pt idx="6">
                  <c:v>26</c:v>
                </c:pt>
                <c:pt idx="7">
                  <c:v>24</c:v>
                </c:pt>
                <c:pt idx="8">
                  <c:v>15</c:v>
                </c:pt>
                <c:pt idx="9">
                  <c:v>9</c:v>
                </c:pt>
                <c:pt idx="10">
                  <c:v>6</c:v>
                </c:pt>
                <c:pt idx="11">
                  <c:v>2</c:v>
                </c:pt>
                <c:pt idx="12">
                  <c:v>0</c:v>
                </c:pt>
                <c:pt idx="13">
                  <c:v>0</c:v>
                </c:pt>
              </c:numCache>
            </c:numRef>
          </c:val>
          <c:extLst>
            <c:ext xmlns:c16="http://schemas.microsoft.com/office/drawing/2014/chart" uri="{C3380CC4-5D6E-409C-BE32-E72D297353CC}">
              <c16:uniqueId val="{00000002-EEB7-4FFA-992C-601266334190}"/>
            </c:ext>
          </c:extLst>
        </c:ser>
        <c:dLbls>
          <c:showLegendKey val="0"/>
          <c:showVal val="0"/>
          <c:showCatName val="0"/>
          <c:showSerName val="0"/>
          <c:showPercent val="0"/>
          <c:showBubbleSize val="0"/>
        </c:dLbls>
        <c:axId val="158390776"/>
        <c:axId val="158388816"/>
      </c:areaChart>
      <c:catAx>
        <c:axId val="158390776"/>
        <c:scaling>
          <c:orientation val="minMax"/>
        </c:scaling>
        <c:delete val="0"/>
        <c:axPos val="b"/>
        <c:title>
          <c:tx>
            <c:rich>
              <a:bodyPr/>
              <a:lstStyle/>
              <a:p>
                <a:pPr>
                  <a:defRPr sz="1400"/>
                </a:pPr>
                <a:r>
                  <a:rPr lang="en-US" sz="1400"/>
                  <a:t>Days</a:t>
                </a:r>
              </a:p>
            </c:rich>
          </c:tx>
          <c:layout>
            <c:manualLayout>
              <c:xMode val="edge"/>
              <c:yMode val="edge"/>
              <c:x val="0.51515407796247692"/>
              <c:y val="0.79516822661318864"/>
            </c:manualLayout>
          </c:layout>
          <c:overlay val="0"/>
        </c:title>
        <c:numFmt formatCode="General" sourceLinked="0"/>
        <c:majorTickMark val="out"/>
        <c:minorTickMark val="none"/>
        <c:tickLblPos val="nextTo"/>
        <c:txPr>
          <a:bodyPr rot="-2700000" vert="horz"/>
          <a:lstStyle/>
          <a:p>
            <a:pPr>
              <a:defRPr/>
            </a:pPr>
            <a:endParaRPr lang="pt-PT"/>
          </a:p>
        </c:txPr>
        <c:crossAx val="158388816"/>
        <c:crosses val="autoZero"/>
        <c:auto val="1"/>
        <c:lblAlgn val="ctr"/>
        <c:lblOffset val="100"/>
        <c:tickLblSkip val="3"/>
        <c:tickMarkSkip val="1"/>
        <c:noMultiLvlLbl val="1"/>
      </c:catAx>
      <c:valAx>
        <c:axId val="158388816"/>
        <c:scaling>
          <c:orientation val="minMax"/>
          <c:min val="0"/>
        </c:scaling>
        <c:delete val="0"/>
        <c:axPos val="l"/>
        <c:majorGridlines/>
        <c:title>
          <c:tx>
            <c:rich>
              <a:bodyPr/>
              <a:lstStyle/>
              <a:p>
                <a:pPr>
                  <a:defRPr sz="1400"/>
                </a:pPr>
                <a:r>
                  <a:rPr lang="en-US" sz="1400"/>
                  <a:t>Work Item Count</a:t>
                </a:r>
              </a:p>
            </c:rich>
          </c:tx>
          <c:layout>
            <c:manualLayout>
              <c:xMode val="edge"/>
              <c:yMode val="edge"/>
              <c:x val="3.6927621861152143E-2"/>
              <c:y val="0.22115384615384612"/>
            </c:manualLayout>
          </c:layout>
          <c:overlay val="0"/>
        </c:title>
        <c:numFmt formatCode="General" sourceLinked="1"/>
        <c:majorTickMark val="out"/>
        <c:minorTickMark val="none"/>
        <c:tickLblPos val="none"/>
        <c:crossAx val="158390776"/>
        <c:crossesAt val="1"/>
        <c:crossBetween val="midCat"/>
        <c:majorUnit val="2"/>
        <c:minorUnit val="1"/>
      </c:valAx>
      <c:spPr>
        <a:solidFill>
          <a:schemeClr val="bg1">
            <a:lumMod val="20000"/>
            <a:lumOff val="80000"/>
          </a:schemeClr>
        </a:solidFill>
      </c:spPr>
    </c:plotArea>
    <c:legend>
      <c:legendPos val="r"/>
      <c:layout>
        <c:manualLayout>
          <c:xMode val="edge"/>
          <c:yMode val="edge"/>
          <c:x val="2.9537523087391854E-2"/>
          <c:y val="0.89894161343040391"/>
          <c:w val="0.92308569067755464"/>
          <c:h val="7.5018075570742374E-2"/>
        </c:manualLayout>
      </c:layout>
      <c:overlay val="0"/>
    </c:legend>
    <c:plotVisOnly val="1"/>
    <c:dispBlanksAs val="zero"/>
    <c:showDLblsOverMax val="0"/>
  </c:chart>
  <c:spPr>
    <a:solidFill>
      <a:srgbClr val="FFFFFF"/>
    </a:solidFill>
  </c:spPr>
  <c:printSettings>
    <c:headerFooter/>
    <c:pageMargins b="0.75000000000000366" l="0.70000000000000062" r="0.70000000000000062" t="0.75000000000000366" header="0.30000000000000032" footer="0.30000000000000032"/>
    <c:pageSetup paperSize="0" orientation="portrait" horizontalDpi="0" verticalDpi="0" copies="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Hours Burndown with Cumulative Flow</a:t>
            </a:r>
          </a:p>
        </c:rich>
      </c:tx>
      <c:layout>
        <c:manualLayout>
          <c:xMode val="edge"/>
          <c:yMode val="edge"/>
          <c:x val="0.22098421541318475"/>
          <c:y val="3.8369304556354941E-2"/>
        </c:manualLayout>
      </c:layout>
      <c:overlay val="0"/>
    </c:title>
    <c:autoTitleDeleted val="0"/>
    <c:plotArea>
      <c:layout>
        <c:manualLayout>
          <c:layoutTarget val="inner"/>
          <c:xMode val="edge"/>
          <c:yMode val="edge"/>
          <c:x val="0.1011257386832118"/>
          <c:y val="0.17669172932330818"/>
          <c:w val="0.87100657289633654"/>
          <c:h val="0.46992481203007747"/>
        </c:manualLayout>
      </c:layout>
      <c:areaChart>
        <c:grouping val="stacked"/>
        <c:varyColors val="0"/>
        <c:ser>
          <c:idx val="0"/>
          <c:order val="0"/>
          <c:tx>
            <c:v>Complete</c:v>
          </c:tx>
          <c:spPr>
            <a:solidFill>
              <a:srgbClr val="00B050"/>
            </a:solidFill>
          </c:spPr>
          <c:val>
            <c:numRef>
              <c:f>[1]Analysis!$E$33:$R$33</c:f>
              <c:numCache>
                <c:formatCode>General</c:formatCode>
                <c:ptCount val="14"/>
                <c:pt idx="0">
                  <c:v>17</c:v>
                </c:pt>
                <c:pt idx="1">
                  <c:v>46</c:v>
                </c:pt>
                <c:pt idx="2">
                  <c:v>94</c:v>
                </c:pt>
                <c:pt idx="3">
                  <c:v>126</c:v>
                </c:pt>
                <c:pt idx="4">
                  <c:v>149</c:v>
                </c:pt>
                <c:pt idx="5">
                  <c:v>188</c:v>
                </c:pt>
                <c:pt idx="6">
                  <c:v>220</c:v>
                </c:pt>
                <c:pt idx="7">
                  <c:v>256</c:v>
                </c:pt>
                <c:pt idx="8">
                  <c:v>275</c:v>
                </c:pt>
                <c:pt idx="9">
                  <c:v>283</c:v>
                </c:pt>
                <c:pt idx="10">
                  <c:v>318</c:v>
                </c:pt>
                <c:pt idx="11">
                  <c:v>357</c:v>
                </c:pt>
                <c:pt idx="12">
                  <c:v>372</c:v>
                </c:pt>
                <c:pt idx="13">
                  <c:v>386</c:v>
                </c:pt>
              </c:numCache>
            </c:numRef>
          </c:val>
          <c:extLst>
            <c:ext xmlns:c15="http://schemas.microsoft.com/office/drawing/2012/chart" uri="{02D57815-91ED-43cb-92C2-25804820EDAC}">
              <c15:filteredCategoryTitle>
                <c15:cat>
                  <c:numRef>
                    <c:extLst>
                      <c:ext uri="{02D57815-91ED-43cb-92C2-25804820EDAC}">
                        <c15:formulaRef>
                          <c15:sqref>[1]Analysis!$E$19:$R$19</c15:sqref>
                        </c15:formulaRef>
                      </c:ext>
                    </c:extLst>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15:cat>
              </c15:filteredCategoryTitle>
            </c:ext>
            <c:ext xmlns:c16="http://schemas.microsoft.com/office/drawing/2014/chart" uri="{C3380CC4-5D6E-409C-BE32-E72D297353CC}">
              <c16:uniqueId val="{00000000-9BA2-4842-A6FE-AB6BEC4063BF}"/>
            </c:ext>
          </c:extLst>
        </c:ser>
        <c:ser>
          <c:idx val="1"/>
          <c:order val="1"/>
          <c:tx>
            <c:v>In Progress</c:v>
          </c:tx>
          <c:spPr>
            <a:solidFill>
              <a:srgbClr val="FFFF00"/>
            </a:solidFill>
          </c:spPr>
          <c:val>
            <c:numRef>
              <c:f>[1]Analysis!$E$32:$R$32</c:f>
              <c:numCache>
                <c:formatCode>0</c:formatCode>
                <c:ptCount val="14"/>
                <c:pt idx="0">
                  <c:v>43</c:v>
                </c:pt>
                <c:pt idx="1">
                  <c:v>59</c:v>
                </c:pt>
                <c:pt idx="2">
                  <c:v>62</c:v>
                </c:pt>
                <c:pt idx="3">
                  <c:v>79</c:v>
                </c:pt>
                <c:pt idx="4">
                  <c:v>78</c:v>
                </c:pt>
                <c:pt idx="5">
                  <c:v>55</c:v>
                </c:pt>
                <c:pt idx="6">
                  <c:v>36</c:v>
                </c:pt>
                <c:pt idx="7">
                  <c:v>12</c:v>
                </c:pt>
                <c:pt idx="8">
                  <c:v>36</c:v>
                </c:pt>
                <c:pt idx="9">
                  <c:v>63</c:v>
                </c:pt>
                <c:pt idx="10">
                  <c:v>39</c:v>
                </c:pt>
                <c:pt idx="11">
                  <c:v>15</c:v>
                </c:pt>
                <c:pt idx="12">
                  <c:v>14</c:v>
                </c:pt>
                <c:pt idx="13">
                  <c:v>0</c:v>
                </c:pt>
              </c:numCache>
            </c:numRef>
          </c:val>
          <c:extLst>
            <c:ext xmlns:c15="http://schemas.microsoft.com/office/drawing/2012/chart" uri="{02D57815-91ED-43cb-92C2-25804820EDAC}">
              <c15:filteredCategoryTitle>
                <c15:cat>
                  <c:numRef>
                    <c:extLst>
                      <c:ext uri="{02D57815-91ED-43cb-92C2-25804820EDAC}">
                        <c15:formulaRef>
                          <c15:sqref>[1]Analysis!$E$19:$R$19</c15:sqref>
                        </c15:formulaRef>
                      </c:ext>
                    </c:extLst>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15:cat>
              </c15:filteredCategoryTitle>
            </c:ext>
            <c:ext xmlns:c16="http://schemas.microsoft.com/office/drawing/2014/chart" uri="{C3380CC4-5D6E-409C-BE32-E72D297353CC}">
              <c16:uniqueId val="{00000001-9BA2-4842-A6FE-AB6BEC4063BF}"/>
            </c:ext>
          </c:extLst>
        </c:ser>
        <c:ser>
          <c:idx val="2"/>
          <c:order val="2"/>
          <c:tx>
            <c:v>Pending</c:v>
          </c:tx>
          <c:spPr>
            <a:solidFill>
              <a:schemeClr val="bg2">
                <a:lumMod val="90000"/>
              </a:schemeClr>
            </a:solidFill>
          </c:spPr>
          <c:val>
            <c:numRef>
              <c:f>[1]Analysis!$E$31:$R$31</c:f>
              <c:numCache>
                <c:formatCode>General</c:formatCode>
                <c:ptCount val="14"/>
                <c:pt idx="0">
                  <c:v>323</c:v>
                </c:pt>
                <c:pt idx="1">
                  <c:v>278</c:v>
                </c:pt>
                <c:pt idx="2">
                  <c:v>227</c:v>
                </c:pt>
                <c:pt idx="3">
                  <c:v>178</c:v>
                </c:pt>
                <c:pt idx="4">
                  <c:v>158</c:v>
                </c:pt>
                <c:pt idx="5">
                  <c:v>142</c:v>
                </c:pt>
                <c:pt idx="6">
                  <c:v>130</c:v>
                </c:pt>
                <c:pt idx="7">
                  <c:v>118</c:v>
                </c:pt>
                <c:pt idx="8">
                  <c:v>75</c:v>
                </c:pt>
                <c:pt idx="9">
                  <c:v>40</c:v>
                </c:pt>
                <c:pt idx="10">
                  <c:v>29</c:v>
                </c:pt>
                <c:pt idx="11">
                  <c:v>14</c:v>
                </c:pt>
                <c:pt idx="12">
                  <c:v>0</c:v>
                </c:pt>
                <c:pt idx="13">
                  <c:v>0</c:v>
                </c:pt>
              </c:numCache>
            </c:numRef>
          </c:val>
          <c:extLst>
            <c:ext xmlns:c15="http://schemas.microsoft.com/office/drawing/2012/chart" uri="{02D57815-91ED-43cb-92C2-25804820EDAC}">
              <c15:filteredCategoryTitle>
                <c15:cat>
                  <c:numRef>
                    <c:extLst>
                      <c:ext uri="{02D57815-91ED-43cb-92C2-25804820EDAC}">
                        <c15:formulaRef>
                          <c15:sqref>[1]Analysis!$E$19:$R$19</c15:sqref>
                        </c15:formulaRef>
                      </c:ext>
                    </c:extLst>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15:cat>
              </c15:filteredCategoryTitle>
            </c:ext>
            <c:ext xmlns:c16="http://schemas.microsoft.com/office/drawing/2014/chart" uri="{C3380CC4-5D6E-409C-BE32-E72D297353CC}">
              <c16:uniqueId val="{00000002-9BA2-4842-A6FE-AB6BEC4063BF}"/>
            </c:ext>
          </c:extLst>
        </c:ser>
        <c:dLbls>
          <c:showLegendKey val="0"/>
          <c:showVal val="0"/>
          <c:showCatName val="0"/>
          <c:showSerName val="0"/>
          <c:showPercent val="0"/>
          <c:showBubbleSize val="0"/>
        </c:dLbls>
        <c:axId val="158391168"/>
        <c:axId val="158391560"/>
      </c:areaChart>
      <c:lineChart>
        <c:grouping val="standard"/>
        <c:varyColors val="0"/>
        <c:ser>
          <c:idx val="3"/>
          <c:order val="3"/>
          <c:tx>
            <c:v>Remaining</c:v>
          </c:tx>
          <c:spPr>
            <a:ln w="25400">
              <a:solidFill>
                <a:schemeClr val="accent6"/>
              </a:solidFill>
            </a:ln>
          </c:spPr>
          <c:marker>
            <c:symbol val="x"/>
            <c:size val="3"/>
            <c:spPr>
              <a:solidFill>
                <a:schemeClr val="accent6"/>
              </a:solidFill>
              <a:ln w="3175"/>
            </c:spPr>
          </c:marker>
          <c:trendline>
            <c:spPr>
              <a:ln w="12700">
                <a:solidFill>
                  <a:srgbClr val="FF0000"/>
                </a:solidFill>
                <a:prstDash val="dash"/>
              </a:ln>
            </c:spPr>
            <c:trendlineType val="linear"/>
            <c:dispRSqr val="0"/>
            <c:dispEq val="0"/>
          </c:trendline>
          <c:val>
            <c:numRef>
              <c:f>[1]Analysis!$E$22:$R$22</c:f>
              <c:numCache>
                <c:formatCode>General</c:formatCode>
                <c:ptCount val="14"/>
                <c:pt idx="0">
                  <c:v>343</c:v>
                </c:pt>
                <c:pt idx="1">
                  <c:v>304</c:v>
                </c:pt>
                <c:pt idx="2">
                  <c:v>262</c:v>
                </c:pt>
                <c:pt idx="3">
                  <c:v>221</c:v>
                </c:pt>
                <c:pt idx="4">
                  <c:v>193</c:v>
                </c:pt>
                <c:pt idx="5">
                  <c:v>167</c:v>
                </c:pt>
                <c:pt idx="6">
                  <c:v>143</c:v>
                </c:pt>
                <c:pt idx="7">
                  <c:v>124</c:v>
                </c:pt>
                <c:pt idx="8">
                  <c:v>95</c:v>
                </c:pt>
                <c:pt idx="9">
                  <c:v>69</c:v>
                </c:pt>
                <c:pt idx="10">
                  <c:v>40</c:v>
                </c:pt>
                <c:pt idx="11">
                  <c:v>20</c:v>
                </c:pt>
                <c:pt idx="12">
                  <c:v>8</c:v>
                </c:pt>
                <c:pt idx="13">
                  <c:v>0</c:v>
                </c:pt>
              </c:numCache>
            </c:numRef>
          </c:val>
          <c:smooth val="0"/>
          <c:extLst>
            <c:ext xmlns:c15="http://schemas.microsoft.com/office/drawing/2012/chart" uri="{02D57815-91ED-43cb-92C2-25804820EDAC}">
              <c15:filteredCategoryTitle>
                <c15:cat>
                  <c:numRef>
                    <c:extLst>
                      <c:ext uri="{02D57815-91ED-43cb-92C2-25804820EDAC}">
                        <c15:formulaRef>
                          <c15:sqref>[1]Analysis!$E$19:$R$19</c15:sqref>
                        </c15:formulaRef>
                      </c:ext>
                    </c:extLst>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15:cat>
              </c15:filteredCategoryTitle>
            </c:ext>
            <c:ext xmlns:c16="http://schemas.microsoft.com/office/drawing/2014/chart" uri="{C3380CC4-5D6E-409C-BE32-E72D297353CC}">
              <c16:uniqueId val="{00000004-9BA2-4842-A6FE-AB6BEC4063BF}"/>
            </c:ext>
          </c:extLst>
        </c:ser>
        <c:ser>
          <c:idx val="4"/>
          <c:order val="4"/>
          <c:tx>
            <c:v>Effort</c:v>
          </c:tx>
          <c:spPr>
            <a:ln w="25400">
              <a:solidFill>
                <a:schemeClr val="accent1"/>
              </a:solidFill>
            </a:ln>
          </c:spPr>
          <c:marker>
            <c:symbol val="circle"/>
            <c:size val="3"/>
            <c:spPr>
              <a:solidFill>
                <a:schemeClr val="accent1"/>
              </a:solidFill>
              <a:ln w="3175"/>
            </c:spPr>
          </c:marker>
          <c:val>
            <c:numRef>
              <c:f>[1]Analysis!$E$24:$R$24</c:f>
              <c:numCache>
                <c:formatCode>General</c:formatCode>
                <c:ptCount val="14"/>
                <c:pt idx="0">
                  <c:v>40</c:v>
                </c:pt>
                <c:pt idx="1">
                  <c:v>79</c:v>
                </c:pt>
                <c:pt idx="2">
                  <c:v>121</c:v>
                </c:pt>
                <c:pt idx="3">
                  <c:v>162</c:v>
                </c:pt>
                <c:pt idx="4">
                  <c:v>192</c:v>
                </c:pt>
                <c:pt idx="5">
                  <c:v>218</c:v>
                </c:pt>
                <c:pt idx="6">
                  <c:v>243</c:v>
                </c:pt>
                <c:pt idx="7">
                  <c:v>262</c:v>
                </c:pt>
                <c:pt idx="8">
                  <c:v>291</c:v>
                </c:pt>
                <c:pt idx="9">
                  <c:v>317</c:v>
                </c:pt>
                <c:pt idx="10">
                  <c:v>346</c:v>
                </c:pt>
                <c:pt idx="11">
                  <c:v>366</c:v>
                </c:pt>
                <c:pt idx="12">
                  <c:v>378</c:v>
                </c:pt>
                <c:pt idx="13">
                  <c:v>386</c:v>
                </c:pt>
              </c:numCache>
            </c:numRef>
          </c:val>
          <c:smooth val="1"/>
          <c:extLst>
            <c:ext xmlns:c16="http://schemas.microsoft.com/office/drawing/2014/chart" uri="{C3380CC4-5D6E-409C-BE32-E72D297353CC}">
              <c16:uniqueId val="{00000005-9BA2-4842-A6FE-AB6BEC4063BF}"/>
            </c:ext>
          </c:extLst>
        </c:ser>
        <c:dLbls>
          <c:showLegendKey val="0"/>
          <c:showVal val="0"/>
          <c:showCatName val="0"/>
          <c:showSerName val="0"/>
          <c:showPercent val="0"/>
          <c:showBubbleSize val="0"/>
        </c:dLbls>
        <c:marker val="1"/>
        <c:smooth val="0"/>
        <c:axId val="158391168"/>
        <c:axId val="158391560"/>
      </c:lineChart>
      <c:catAx>
        <c:axId val="158391168"/>
        <c:scaling>
          <c:orientation val="minMax"/>
        </c:scaling>
        <c:delete val="0"/>
        <c:axPos val="b"/>
        <c:title>
          <c:tx>
            <c:rich>
              <a:bodyPr/>
              <a:lstStyle/>
              <a:p>
                <a:pPr algn="ctr" rtl="0">
                  <a:defRPr lang="en-US" sz="1400" b="1" i="0" u="none" strike="noStrike" kern="1200" baseline="0">
                    <a:solidFill>
                      <a:sysClr val="windowText" lastClr="000000"/>
                    </a:solidFill>
                    <a:latin typeface="+mn-lt"/>
                    <a:ea typeface="+mn-ea"/>
                    <a:cs typeface="+mn-cs"/>
                  </a:defRPr>
                </a:pPr>
                <a:r>
                  <a:rPr lang="en-US" sz="1400" b="1" i="0" u="none" strike="noStrike" kern="1200" baseline="0">
                    <a:solidFill>
                      <a:sysClr val="windowText" lastClr="000000"/>
                    </a:solidFill>
                    <a:latin typeface="+mn-lt"/>
                    <a:ea typeface="+mn-ea"/>
                    <a:cs typeface="+mn-cs"/>
                  </a:rPr>
                  <a:t>Days</a:t>
                </a:r>
              </a:p>
            </c:rich>
          </c:tx>
          <c:layout>
            <c:manualLayout>
              <c:xMode val="edge"/>
              <c:yMode val="edge"/>
              <c:x val="0.46346112718816135"/>
              <c:y val="0.7504193554753027"/>
            </c:manualLayout>
          </c:layout>
          <c:overlay val="0"/>
        </c:title>
        <c:numFmt formatCode="General" sourceLinked="0"/>
        <c:majorTickMark val="out"/>
        <c:minorTickMark val="none"/>
        <c:tickLblPos val="nextTo"/>
        <c:txPr>
          <a:bodyPr rot="-2700000" vert="horz"/>
          <a:lstStyle/>
          <a:p>
            <a:pPr>
              <a:defRPr/>
            </a:pPr>
            <a:endParaRPr lang="pt-PT"/>
          </a:p>
        </c:txPr>
        <c:crossAx val="158391560"/>
        <c:crosses val="autoZero"/>
        <c:auto val="1"/>
        <c:lblAlgn val="ctr"/>
        <c:lblOffset val="100"/>
        <c:tickLblSkip val="3"/>
        <c:tickMarkSkip val="1"/>
        <c:noMultiLvlLbl val="1"/>
      </c:catAx>
      <c:valAx>
        <c:axId val="158391560"/>
        <c:scaling>
          <c:orientation val="minMax"/>
          <c:min val="0"/>
        </c:scaling>
        <c:delete val="0"/>
        <c:axPos val="l"/>
        <c:majorGridlines/>
        <c:title>
          <c:tx>
            <c:rich>
              <a:bodyPr/>
              <a:lstStyle/>
              <a:p>
                <a:pPr>
                  <a:defRPr/>
                </a:pPr>
                <a:r>
                  <a:rPr lang="en-US" sz="1400" b="1" i="0" u="none" strike="noStrike" kern="1200" baseline="0">
                    <a:solidFill>
                      <a:sysClr val="windowText" lastClr="000000"/>
                    </a:solidFill>
                    <a:latin typeface="+mn-lt"/>
                    <a:ea typeface="+mn-ea"/>
                    <a:cs typeface="+mn-cs"/>
                  </a:rPr>
                  <a:t>Work Item Hours</a:t>
                </a:r>
              </a:p>
            </c:rich>
          </c:tx>
          <c:layout>
            <c:manualLayout>
              <c:xMode val="edge"/>
              <c:yMode val="edge"/>
              <c:x val="1.5944844501274948E-2"/>
              <c:y val="0.182939237858428"/>
            </c:manualLayout>
          </c:layout>
          <c:overlay val="0"/>
        </c:title>
        <c:numFmt formatCode="General" sourceLinked="1"/>
        <c:majorTickMark val="out"/>
        <c:minorTickMark val="none"/>
        <c:tickLblPos val="nextTo"/>
        <c:txPr>
          <a:bodyPr rot="0" vert="horz"/>
          <a:lstStyle/>
          <a:p>
            <a:pPr>
              <a:defRPr/>
            </a:pPr>
            <a:endParaRPr lang="pt-PT"/>
          </a:p>
        </c:txPr>
        <c:crossAx val="158391168"/>
        <c:crossesAt val="1"/>
        <c:crossBetween val="midCat"/>
      </c:valAx>
      <c:spPr>
        <a:solidFill>
          <a:srgbClr val="FFFFFF"/>
        </a:solidFill>
      </c:spPr>
    </c:plotArea>
    <c:legend>
      <c:legendPos val="r"/>
      <c:layout>
        <c:manualLayout>
          <c:xMode val="edge"/>
          <c:yMode val="edge"/>
          <c:x val="2.1141254520704252E-2"/>
          <c:y val="0.88314329129911395"/>
          <c:w val="0.94998646536704257"/>
          <c:h val="8.2977127859017633E-2"/>
        </c:manualLayout>
      </c:layout>
      <c:overlay val="0"/>
    </c:legend>
    <c:plotVisOnly val="1"/>
    <c:dispBlanksAs val="zero"/>
    <c:showDLblsOverMax val="0"/>
  </c:chart>
  <c:spPr>
    <a:solidFill>
      <a:srgbClr val="FFFFFF"/>
    </a:solidFill>
  </c:spPr>
  <c:printSettings>
    <c:headerFooter/>
    <c:pageMargins b="0.75000000000000366" l="0.70000000000000062" r="0.70000000000000062" t="0.75000000000000366" header="0.30000000000000032" footer="0.30000000000000032"/>
    <c:pageSetup paperSize="0" orientation="portrait" horizontalDpi="0" verticalDpi="0" copies="0"/>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Reports'!$A$2</c:f>
              <c:strCache>
                <c:ptCount val="1"/>
                <c:pt idx="0">
                  <c:v>Feature</c:v>
                </c:pt>
              </c:strCache>
            </c:strRef>
          </c:tx>
          <c:invertIfNegative val="0"/>
          <c:val>
            <c:numRef>
              <c:f>'Project Specific Reports'!$B$2</c:f>
              <c:numCache>
                <c:formatCode>General</c:formatCode>
                <c:ptCount val="1"/>
                <c:pt idx="0">
                  <c:v>93</c:v>
                </c:pt>
              </c:numCache>
            </c:numRef>
          </c:val>
          <c:extLst>
            <c:ext xmlns:c16="http://schemas.microsoft.com/office/drawing/2014/chart" uri="{C3380CC4-5D6E-409C-BE32-E72D297353CC}">
              <c16:uniqueId val="{00000000-F53B-4C60-85F3-2D94F5B06CC2}"/>
            </c:ext>
          </c:extLst>
        </c:ser>
        <c:ser>
          <c:idx val="1"/>
          <c:order val="1"/>
          <c:tx>
            <c:strRef>
              <c:f>'Project Specific Reports'!$A$3</c:f>
              <c:strCache>
                <c:ptCount val="1"/>
                <c:pt idx="0">
                  <c:v>Tax</c:v>
                </c:pt>
              </c:strCache>
            </c:strRef>
          </c:tx>
          <c:invertIfNegative val="0"/>
          <c:val>
            <c:numRef>
              <c:f>'Project Specific Reports'!$B$3</c:f>
              <c:numCache>
                <c:formatCode>General</c:formatCode>
                <c:ptCount val="1"/>
                <c:pt idx="0">
                  <c:v>65</c:v>
                </c:pt>
              </c:numCache>
            </c:numRef>
          </c:val>
          <c:extLst>
            <c:ext xmlns:c16="http://schemas.microsoft.com/office/drawing/2014/chart" uri="{C3380CC4-5D6E-409C-BE32-E72D297353CC}">
              <c16:uniqueId val="{00000001-F53B-4C60-85F3-2D94F5B06CC2}"/>
            </c:ext>
          </c:extLst>
        </c:ser>
        <c:ser>
          <c:idx val="2"/>
          <c:order val="2"/>
          <c:tx>
            <c:strRef>
              <c:f>'Project Specific Reports'!$A$4</c:f>
              <c:strCache>
                <c:ptCount val="1"/>
                <c:pt idx="0">
                  <c:v>Precondition</c:v>
                </c:pt>
              </c:strCache>
            </c:strRef>
          </c:tx>
          <c:invertIfNegative val="0"/>
          <c:val>
            <c:numRef>
              <c:f>'Project Specific Reports'!$B$4</c:f>
              <c:numCache>
                <c:formatCode>General</c:formatCode>
                <c:ptCount val="1"/>
                <c:pt idx="0">
                  <c:v>0</c:v>
                </c:pt>
              </c:numCache>
            </c:numRef>
          </c:val>
          <c:extLst>
            <c:ext xmlns:c16="http://schemas.microsoft.com/office/drawing/2014/chart" uri="{C3380CC4-5D6E-409C-BE32-E72D297353CC}">
              <c16:uniqueId val="{00000002-F53B-4C60-85F3-2D94F5B06CC2}"/>
            </c:ext>
          </c:extLst>
        </c:ser>
        <c:ser>
          <c:idx val="3"/>
          <c:order val="3"/>
          <c:tx>
            <c:strRef>
              <c:f>'Project Specific Reports'!$A$5</c:f>
              <c:strCache>
                <c:ptCount val="1"/>
                <c:pt idx="0">
                  <c:v>Spike</c:v>
                </c:pt>
              </c:strCache>
            </c:strRef>
          </c:tx>
          <c:invertIfNegative val="0"/>
          <c:val>
            <c:numRef>
              <c:f>'Project Specific Reports'!$B$5</c:f>
              <c:numCache>
                <c:formatCode>General</c:formatCode>
                <c:ptCount val="1"/>
                <c:pt idx="0">
                  <c:v>0</c:v>
                </c:pt>
              </c:numCache>
            </c:numRef>
          </c:val>
          <c:extLst>
            <c:ext xmlns:c16="http://schemas.microsoft.com/office/drawing/2014/chart" uri="{C3380CC4-5D6E-409C-BE32-E72D297353CC}">
              <c16:uniqueId val="{00000003-F53B-4C60-85F3-2D94F5B06CC2}"/>
            </c:ext>
          </c:extLst>
        </c:ser>
        <c:dLbls>
          <c:showLegendKey val="0"/>
          <c:showVal val="0"/>
          <c:showCatName val="0"/>
          <c:showSerName val="0"/>
          <c:showPercent val="0"/>
          <c:showBubbleSize val="0"/>
        </c:dLbls>
        <c:gapWidth val="150"/>
        <c:overlap val="100"/>
        <c:axId val="158392736"/>
        <c:axId val="222304040"/>
      </c:barChart>
      <c:catAx>
        <c:axId val="158392736"/>
        <c:scaling>
          <c:orientation val="minMax"/>
        </c:scaling>
        <c:delete val="0"/>
        <c:axPos val="b"/>
        <c:majorTickMark val="out"/>
        <c:minorTickMark val="none"/>
        <c:tickLblPos val="nextTo"/>
        <c:crossAx val="222304040"/>
        <c:crosses val="autoZero"/>
        <c:auto val="1"/>
        <c:lblAlgn val="ctr"/>
        <c:lblOffset val="100"/>
        <c:noMultiLvlLbl val="0"/>
      </c:catAx>
      <c:valAx>
        <c:axId val="222304040"/>
        <c:scaling>
          <c:orientation val="minMax"/>
        </c:scaling>
        <c:delete val="0"/>
        <c:axPos val="l"/>
        <c:majorGridlines/>
        <c:numFmt formatCode="0%" sourceLinked="1"/>
        <c:majorTickMark val="out"/>
        <c:minorTickMark val="none"/>
        <c:tickLblPos val="nextTo"/>
        <c:crossAx val="158392736"/>
        <c:crosses val="autoZero"/>
        <c:crossBetween val="between"/>
      </c:valAx>
    </c:plotArea>
    <c:legend>
      <c:legendPos val="r"/>
      <c:overlay val="0"/>
    </c:legend>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Reports'!$A$9</c:f>
              <c:strCache>
                <c:ptCount val="1"/>
                <c:pt idx="0">
                  <c:v>Data Model</c:v>
                </c:pt>
              </c:strCache>
            </c:strRef>
          </c:tx>
          <c:invertIfNegative val="0"/>
          <c:val>
            <c:numRef>
              <c:f>'Project Specific Reports'!$B$9</c:f>
              <c:numCache>
                <c:formatCode>General</c:formatCode>
                <c:ptCount val="1"/>
                <c:pt idx="0">
                  <c:v>21</c:v>
                </c:pt>
              </c:numCache>
            </c:numRef>
          </c:val>
          <c:extLst>
            <c:ext xmlns:c16="http://schemas.microsoft.com/office/drawing/2014/chart" uri="{C3380CC4-5D6E-409C-BE32-E72D297353CC}">
              <c16:uniqueId val="{00000000-3A4F-4DE2-9836-F119B0257F10}"/>
            </c:ext>
          </c:extLst>
        </c:ser>
        <c:ser>
          <c:idx val="1"/>
          <c:order val="1"/>
          <c:tx>
            <c:strRef>
              <c:f>'Project Specific Reports'!$A$10</c:f>
              <c:strCache>
                <c:ptCount val="1"/>
                <c:pt idx="0">
                  <c:v>Integration Model</c:v>
                </c:pt>
              </c:strCache>
            </c:strRef>
          </c:tx>
          <c:invertIfNegative val="0"/>
          <c:val>
            <c:numRef>
              <c:f>'Project Specific Reports'!$B$10</c:f>
              <c:numCache>
                <c:formatCode>General</c:formatCode>
                <c:ptCount val="1"/>
                <c:pt idx="0">
                  <c:v>3</c:v>
                </c:pt>
              </c:numCache>
            </c:numRef>
          </c:val>
          <c:extLst>
            <c:ext xmlns:c16="http://schemas.microsoft.com/office/drawing/2014/chart" uri="{C3380CC4-5D6E-409C-BE32-E72D297353CC}">
              <c16:uniqueId val="{00000001-3A4F-4DE2-9836-F119B0257F10}"/>
            </c:ext>
          </c:extLst>
        </c:ser>
        <c:ser>
          <c:idx val="2"/>
          <c:order val="2"/>
          <c:tx>
            <c:strRef>
              <c:f>'Project Specific Reports'!$A$11</c:f>
              <c:strCache>
                <c:ptCount val="1"/>
                <c:pt idx="0">
                  <c:v>System Frameworks</c:v>
                </c:pt>
              </c:strCache>
            </c:strRef>
          </c:tx>
          <c:invertIfNegative val="0"/>
          <c:val>
            <c:numRef>
              <c:f>'Project Specific Reports'!$B$11</c:f>
              <c:numCache>
                <c:formatCode>General</c:formatCode>
                <c:ptCount val="1"/>
                <c:pt idx="0">
                  <c:v>26</c:v>
                </c:pt>
              </c:numCache>
            </c:numRef>
          </c:val>
          <c:extLst>
            <c:ext xmlns:c16="http://schemas.microsoft.com/office/drawing/2014/chart" uri="{C3380CC4-5D6E-409C-BE32-E72D297353CC}">
              <c16:uniqueId val="{00000002-3A4F-4DE2-9836-F119B0257F10}"/>
            </c:ext>
          </c:extLst>
        </c:ser>
        <c:ser>
          <c:idx val="3"/>
          <c:order val="3"/>
          <c:tx>
            <c:strRef>
              <c:f>'Project Specific Reports'!$A$12</c:f>
              <c:strCache>
                <c:ptCount val="1"/>
                <c:pt idx="0">
                  <c:v>Data Conversions</c:v>
                </c:pt>
              </c:strCache>
            </c:strRef>
          </c:tx>
          <c:invertIfNegative val="0"/>
          <c:val>
            <c:numRef>
              <c:f>'Project Specific Reports'!$B$12</c:f>
              <c:numCache>
                <c:formatCode>General</c:formatCode>
                <c:ptCount val="1"/>
                <c:pt idx="0">
                  <c:v>5</c:v>
                </c:pt>
              </c:numCache>
            </c:numRef>
          </c:val>
          <c:extLst>
            <c:ext xmlns:c16="http://schemas.microsoft.com/office/drawing/2014/chart" uri="{C3380CC4-5D6E-409C-BE32-E72D297353CC}">
              <c16:uniqueId val="{00000003-3A4F-4DE2-9836-F119B0257F10}"/>
            </c:ext>
          </c:extLst>
        </c:ser>
        <c:ser>
          <c:idx val="4"/>
          <c:order val="4"/>
          <c:tx>
            <c:strRef>
              <c:f>'Project Specific Reports'!$A$13</c:f>
              <c:strCache>
                <c:ptCount val="1"/>
                <c:pt idx="0">
                  <c:v>Security</c:v>
                </c:pt>
              </c:strCache>
            </c:strRef>
          </c:tx>
          <c:invertIfNegative val="0"/>
          <c:val>
            <c:numRef>
              <c:f>'Project Specific Reports'!$B$13</c:f>
              <c:numCache>
                <c:formatCode>General</c:formatCode>
                <c:ptCount val="1"/>
                <c:pt idx="0">
                  <c:v>6</c:v>
                </c:pt>
              </c:numCache>
            </c:numRef>
          </c:val>
          <c:extLst>
            <c:ext xmlns:c16="http://schemas.microsoft.com/office/drawing/2014/chart" uri="{C3380CC4-5D6E-409C-BE32-E72D297353CC}">
              <c16:uniqueId val="{00000004-3A4F-4DE2-9836-F119B0257F10}"/>
            </c:ext>
          </c:extLst>
        </c:ser>
        <c:ser>
          <c:idx val="5"/>
          <c:order val="5"/>
          <c:tx>
            <c:strRef>
              <c:f>'Project Specific Reports'!$A$14</c:f>
              <c:strCache>
                <c:ptCount val="1"/>
                <c:pt idx="0">
                  <c:v>Cash Payment Tracking</c:v>
                </c:pt>
              </c:strCache>
            </c:strRef>
          </c:tx>
          <c:invertIfNegative val="0"/>
          <c:val>
            <c:numRef>
              <c:f>'Project Specific Reports'!$B$14</c:f>
              <c:numCache>
                <c:formatCode>General</c:formatCode>
                <c:ptCount val="1"/>
                <c:pt idx="0">
                  <c:v>0</c:v>
                </c:pt>
              </c:numCache>
            </c:numRef>
          </c:val>
          <c:extLst>
            <c:ext xmlns:c16="http://schemas.microsoft.com/office/drawing/2014/chart" uri="{C3380CC4-5D6E-409C-BE32-E72D297353CC}">
              <c16:uniqueId val="{00000005-3A4F-4DE2-9836-F119B0257F10}"/>
            </c:ext>
          </c:extLst>
        </c:ser>
        <c:ser>
          <c:idx val="6"/>
          <c:order val="6"/>
          <c:tx>
            <c:strRef>
              <c:f>'Project Specific Reports'!$A$15</c:f>
              <c:strCache>
                <c:ptCount val="1"/>
                <c:pt idx="0">
                  <c:v>Views</c:v>
                </c:pt>
              </c:strCache>
            </c:strRef>
          </c:tx>
          <c:invertIfNegative val="0"/>
          <c:val>
            <c:numRef>
              <c:f>'Project Specific Reports'!$B$15</c:f>
              <c:numCache>
                <c:formatCode>General</c:formatCode>
                <c:ptCount val="1"/>
                <c:pt idx="0">
                  <c:v>5</c:v>
                </c:pt>
              </c:numCache>
            </c:numRef>
          </c:val>
          <c:extLst>
            <c:ext xmlns:c16="http://schemas.microsoft.com/office/drawing/2014/chart" uri="{C3380CC4-5D6E-409C-BE32-E72D297353CC}">
              <c16:uniqueId val="{00000006-3A4F-4DE2-9836-F119B0257F10}"/>
            </c:ext>
          </c:extLst>
        </c:ser>
        <c:ser>
          <c:idx val="7"/>
          <c:order val="7"/>
          <c:tx>
            <c:strRef>
              <c:f>'Project Specific Reports'!$A$16</c:f>
              <c:strCache>
                <c:ptCount val="1"/>
                <c:pt idx="0">
                  <c:v>Lookups</c:v>
                </c:pt>
              </c:strCache>
            </c:strRef>
          </c:tx>
          <c:invertIfNegative val="0"/>
          <c:val>
            <c:numRef>
              <c:f>'Project Specific Reports'!$B$16</c:f>
              <c:numCache>
                <c:formatCode>General</c:formatCode>
                <c:ptCount val="1"/>
                <c:pt idx="0">
                  <c:v>1</c:v>
                </c:pt>
              </c:numCache>
            </c:numRef>
          </c:val>
          <c:extLst>
            <c:ext xmlns:c16="http://schemas.microsoft.com/office/drawing/2014/chart" uri="{C3380CC4-5D6E-409C-BE32-E72D297353CC}">
              <c16:uniqueId val="{00000007-3A4F-4DE2-9836-F119B0257F10}"/>
            </c:ext>
          </c:extLst>
        </c:ser>
        <c:ser>
          <c:idx val="8"/>
          <c:order val="8"/>
          <c:tx>
            <c:strRef>
              <c:f>'Project Specific Reports'!$A$17</c:f>
              <c:strCache>
                <c:ptCount val="1"/>
                <c:pt idx="0">
                  <c:v>Detail screens</c:v>
                </c:pt>
              </c:strCache>
            </c:strRef>
          </c:tx>
          <c:invertIfNegative val="0"/>
          <c:val>
            <c:numRef>
              <c:f>'Project Specific Reports'!$B$17</c:f>
              <c:numCache>
                <c:formatCode>General</c:formatCode>
                <c:ptCount val="1"/>
                <c:pt idx="0">
                  <c:v>3</c:v>
                </c:pt>
              </c:numCache>
            </c:numRef>
          </c:val>
          <c:extLst>
            <c:ext xmlns:c16="http://schemas.microsoft.com/office/drawing/2014/chart" uri="{C3380CC4-5D6E-409C-BE32-E72D297353CC}">
              <c16:uniqueId val="{00000008-3A4F-4DE2-9836-F119B0257F10}"/>
            </c:ext>
          </c:extLst>
        </c:ser>
        <c:ser>
          <c:idx val="9"/>
          <c:order val="9"/>
          <c:tx>
            <c:strRef>
              <c:f>'Project Specific Reports'!$A$18</c:f>
              <c:strCache>
                <c:ptCount val="1"/>
                <c:pt idx="0">
                  <c:v>Notifications</c:v>
                </c:pt>
              </c:strCache>
            </c:strRef>
          </c:tx>
          <c:invertIfNegative val="0"/>
          <c:val>
            <c:numRef>
              <c:f>'Project Specific Reports'!$B$18</c:f>
              <c:numCache>
                <c:formatCode>General</c:formatCode>
                <c:ptCount val="1"/>
                <c:pt idx="0">
                  <c:v>12</c:v>
                </c:pt>
              </c:numCache>
            </c:numRef>
          </c:val>
          <c:extLst>
            <c:ext xmlns:c16="http://schemas.microsoft.com/office/drawing/2014/chart" uri="{C3380CC4-5D6E-409C-BE32-E72D297353CC}">
              <c16:uniqueId val="{00000009-3A4F-4DE2-9836-F119B0257F10}"/>
            </c:ext>
          </c:extLst>
        </c:ser>
        <c:ser>
          <c:idx val="10"/>
          <c:order val="10"/>
          <c:tx>
            <c:strRef>
              <c:f>'Project Specific Reports'!$A$19</c:f>
              <c:strCache>
                <c:ptCount val="1"/>
                <c:pt idx="0">
                  <c:v>Reports</c:v>
                </c:pt>
              </c:strCache>
            </c:strRef>
          </c:tx>
          <c:invertIfNegative val="0"/>
          <c:val>
            <c:numRef>
              <c:f>'Project Specific Reports'!$B$19</c:f>
              <c:numCache>
                <c:formatCode>General</c:formatCode>
                <c:ptCount val="1"/>
                <c:pt idx="0">
                  <c:v>8</c:v>
                </c:pt>
              </c:numCache>
            </c:numRef>
          </c:val>
          <c:extLst>
            <c:ext xmlns:c16="http://schemas.microsoft.com/office/drawing/2014/chart" uri="{C3380CC4-5D6E-409C-BE32-E72D297353CC}">
              <c16:uniqueId val="{0000000A-3A4F-4DE2-9836-F119B0257F10}"/>
            </c:ext>
          </c:extLst>
        </c:ser>
        <c:ser>
          <c:idx val="11"/>
          <c:order val="11"/>
          <c:tx>
            <c:strRef>
              <c:f>'Project Specific Reports'!$A$20</c:f>
              <c:strCache>
                <c:ptCount val="1"/>
                <c:pt idx="0">
                  <c:v>Installation Package</c:v>
                </c:pt>
              </c:strCache>
            </c:strRef>
          </c:tx>
          <c:invertIfNegative val="0"/>
          <c:val>
            <c:numRef>
              <c:f>'Project Specific Reports'!$B$20</c:f>
              <c:numCache>
                <c:formatCode>General</c:formatCode>
                <c:ptCount val="1"/>
                <c:pt idx="0">
                  <c:v>0</c:v>
                </c:pt>
              </c:numCache>
            </c:numRef>
          </c:val>
          <c:extLst>
            <c:ext xmlns:c16="http://schemas.microsoft.com/office/drawing/2014/chart" uri="{C3380CC4-5D6E-409C-BE32-E72D297353CC}">
              <c16:uniqueId val="{0000000B-3A4F-4DE2-9836-F119B0257F10}"/>
            </c:ext>
          </c:extLst>
        </c:ser>
        <c:ser>
          <c:idx val="12"/>
          <c:order val="12"/>
          <c:tx>
            <c:strRef>
              <c:f>'Project Specific Reports'!$A$21</c:f>
              <c:strCache>
                <c:ptCount val="1"/>
                <c:pt idx="0">
                  <c:v>Deployment</c:v>
                </c:pt>
              </c:strCache>
            </c:strRef>
          </c:tx>
          <c:invertIfNegative val="0"/>
          <c:val>
            <c:numRef>
              <c:f>'Project Specific Reports'!$B$21</c:f>
              <c:numCache>
                <c:formatCode>General</c:formatCode>
                <c:ptCount val="1"/>
                <c:pt idx="0">
                  <c:v>2</c:v>
                </c:pt>
              </c:numCache>
            </c:numRef>
          </c:val>
          <c:extLst>
            <c:ext xmlns:c16="http://schemas.microsoft.com/office/drawing/2014/chart" uri="{C3380CC4-5D6E-409C-BE32-E72D297353CC}">
              <c16:uniqueId val="{0000000C-3A4F-4DE2-9836-F119B0257F10}"/>
            </c:ext>
          </c:extLst>
        </c:ser>
        <c:ser>
          <c:idx val="13"/>
          <c:order val="13"/>
          <c:tx>
            <c:strRef>
              <c:f>'Project Specific Reports'!$A$22</c:f>
              <c:strCache>
                <c:ptCount val="1"/>
                <c:pt idx="0">
                  <c:v>Documentation</c:v>
                </c:pt>
              </c:strCache>
            </c:strRef>
          </c:tx>
          <c:invertIfNegative val="0"/>
          <c:val>
            <c:numRef>
              <c:f>'Project Specific Reports'!$B$22</c:f>
              <c:numCache>
                <c:formatCode>General</c:formatCode>
                <c:ptCount val="1"/>
                <c:pt idx="0">
                  <c:v>19</c:v>
                </c:pt>
              </c:numCache>
            </c:numRef>
          </c:val>
          <c:extLst>
            <c:ext xmlns:c16="http://schemas.microsoft.com/office/drawing/2014/chart" uri="{C3380CC4-5D6E-409C-BE32-E72D297353CC}">
              <c16:uniqueId val="{0000000D-3A4F-4DE2-9836-F119B0257F10}"/>
            </c:ext>
          </c:extLst>
        </c:ser>
        <c:ser>
          <c:idx val="14"/>
          <c:order val="14"/>
          <c:tx>
            <c:strRef>
              <c:f>'Project Specific Reports'!$A$23</c:f>
              <c:strCache>
                <c:ptCount val="1"/>
                <c:pt idx="0">
                  <c:v>Testing</c:v>
                </c:pt>
              </c:strCache>
            </c:strRef>
          </c:tx>
          <c:invertIfNegative val="0"/>
          <c:val>
            <c:numRef>
              <c:f>'Project Specific Reports'!$B$23</c:f>
              <c:numCache>
                <c:formatCode>General</c:formatCode>
                <c:ptCount val="1"/>
                <c:pt idx="0">
                  <c:v>19</c:v>
                </c:pt>
              </c:numCache>
            </c:numRef>
          </c:val>
          <c:extLst>
            <c:ext xmlns:c16="http://schemas.microsoft.com/office/drawing/2014/chart" uri="{C3380CC4-5D6E-409C-BE32-E72D297353CC}">
              <c16:uniqueId val="{0000000E-3A4F-4DE2-9836-F119B0257F10}"/>
            </c:ext>
          </c:extLst>
        </c:ser>
        <c:ser>
          <c:idx val="15"/>
          <c:order val="15"/>
          <c:tx>
            <c:strRef>
              <c:f>'Project Specific Reports'!$A$24</c:f>
              <c:strCache>
                <c:ptCount val="1"/>
                <c:pt idx="0">
                  <c:v>Project Mgt</c:v>
                </c:pt>
              </c:strCache>
            </c:strRef>
          </c:tx>
          <c:invertIfNegative val="0"/>
          <c:val>
            <c:numRef>
              <c:f>'Project Specific Reports'!$B$24</c:f>
              <c:numCache>
                <c:formatCode>General</c:formatCode>
                <c:ptCount val="1"/>
                <c:pt idx="0">
                  <c:v>5</c:v>
                </c:pt>
              </c:numCache>
            </c:numRef>
          </c:val>
          <c:extLst>
            <c:ext xmlns:c16="http://schemas.microsoft.com/office/drawing/2014/chart" uri="{C3380CC4-5D6E-409C-BE32-E72D297353CC}">
              <c16:uniqueId val="{0000000F-3A4F-4DE2-9836-F119B0257F10}"/>
            </c:ext>
          </c:extLst>
        </c:ser>
        <c:dLbls>
          <c:showLegendKey val="0"/>
          <c:showVal val="0"/>
          <c:showCatName val="0"/>
          <c:showSerName val="0"/>
          <c:showPercent val="0"/>
          <c:showBubbleSize val="0"/>
        </c:dLbls>
        <c:gapWidth val="150"/>
        <c:overlap val="100"/>
        <c:axId val="222300120"/>
        <c:axId val="222301296"/>
      </c:barChart>
      <c:catAx>
        <c:axId val="222300120"/>
        <c:scaling>
          <c:orientation val="minMax"/>
        </c:scaling>
        <c:delete val="0"/>
        <c:axPos val="b"/>
        <c:majorTickMark val="out"/>
        <c:minorTickMark val="none"/>
        <c:tickLblPos val="nextTo"/>
        <c:crossAx val="222301296"/>
        <c:crosses val="autoZero"/>
        <c:auto val="1"/>
        <c:lblAlgn val="ctr"/>
        <c:lblOffset val="100"/>
        <c:noMultiLvlLbl val="0"/>
      </c:catAx>
      <c:valAx>
        <c:axId val="222301296"/>
        <c:scaling>
          <c:orientation val="minMax"/>
        </c:scaling>
        <c:delete val="0"/>
        <c:axPos val="l"/>
        <c:majorGridlines/>
        <c:numFmt formatCode="0%" sourceLinked="1"/>
        <c:majorTickMark val="out"/>
        <c:minorTickMark val="none"/>
        <c:tickLblPos val="nextTo"/>
        <c:crossAx val="222300120"/>
        <c:crosses val="autoZero"/>
        <c:crossBetween val="between"/>
      </c:valAx>
    </c:plotArea>
    <c:legend>
      <c:legendPos val="r"/>
      <c:overlay val="0"/>
    </c:legend>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Reports'!$A$28</c:f>
              <c:strCache>
                <c:ptCount val="1"/>
                <c:pt idx="0">
                  <c:v>Complete</c:v>
                </c:pt>
              </c:strCache>
            </c:strRef>
          </c:tx>
          <c:invertIfNegative val="0"/>
          <c:val>
            <c:numRef>
              <c:f>'Project Specific Reports'!$B$28</c:f>
              <c:numCache>
                <c:formatCode>General</c:formatCode>
                <c:ptCount val="1"/>
                <c:pt idx="0">
                  <c:v>0</c:v>
                </c:pt>
              </c:numCache>
            </c:numRef>
          </c:val>
          <c:extLst>
            <c:ext xmlns:c16="http://schemas.microsoft.com/office/drawing/2014/chart" uri="{C3380CC4-5D6E-409C-BE32-E72D297353CC}">
              <c16:uniqueId val="{00000000-6EF3-4C61-8B8D-9C501A5E2FAC}"/>
            </c:ext>
          </c:extLst>
        </c:ser>
        <c:ser>
          <c:idx val="1"/>
          <c:order val="1"/>
          <c:tx>
            <c:strRef>
              <c:f>'Project Specific Reports'!$A$29</c:f>
              <c:strCache>
                <c:ptCount val="1"/>
                <c:pt idx="0">
                  <c:v>In Progress</c:v>
                </c:pt>
              </c:strCache>
            </c:strRef>
          </c:tx>
          <c:invertIfNegative val="0"/>
          <c:val>
            <c:numRef>
              <c:f>'Project Specific Reports'!$B$29</c:f>
              <c:numCache>
                <c:formatCode>General</c:formatCode>
                <c:ptCount val="1"/>
                <c:pt idx="0">
                  <c:v>0</c:v>
                </c:pt>
              </c:numCache>
            </c:numRef>
          </c:val>
          <c:extLst>
            <c:ext xmlns:c16="http://schemas.microsoft.com/office/drawing/2014/chart" uri="{C3380CC4-5D6E-409C-BE32-E72D297353CC}">
              <c16:uniqueId val="{00000001-6EF3-4C61-8B8D-9C501A5E2FAC}"/>
            </c:ext>
          </c:extLst>
        </c:ser>
        <c:ser>
          <c:idx val="2"/>
          <c:order val="2"/>
          <c:tx>
            <c:strRef>
              <c:f>'Project Specific Reports'!$A$30</c:f>
              <c:strCache>
                <c:ptCount val="1"/>
                <c:pt idx="0">
                  <c:v>Pending</c:v>
                </c:pt>
              </c:strCache>
            </c:strRef>
          </c:tx>
          <c:invertIfNegative val="0"/>
          <c:val>
            <c:numRef>
              <c:f>'Project Specific Reports'!$B$30</c:f>
              <c:numCache>
                <c:formatCode>General</c:formatCode>
                <c:ptCount val="1"/>
                <c:pt idx="0">
                  <c:v>0</c:v>
                </c:pt>
              </c:numCache>
            </c:numRef>
          </c:val>
          <c:extLst>
            <c:ext xmlns:c16="http://schemas.microsoft.com/office/drawing/2014/chart" uri="{C3380CC4-5D6E-409C-BE32-E72D297353CC}">
              <c16:uniqueId val="{00000002-6EF3-4C61-8B8D-9C501A5E2FAC}"/>
            </c:ext>
          </c:extLst>
        </c:ser>
        <c:ser>
          <c:idx val="3"/>
          <c:order val="3"/>
          <c:tx>
            <c:strRef>
              <c:f>'Project Specific Reports'!$A$31</c:f>
              <c:strCache>
                <c:ptCount val="1"/>
                <c:pt idx="0">
                  <c:v>Postponed</c:v>
                </c:pt>
              </c:strCache>
            </c:strRef>
          </c:tx>
          <c:invertIfNegative val="0"/>
          <c:val>
            <c:numRef>
              <c:f>'Project Specific Reports'!$B$31</c:f>
              <c:numCache>
                <c:formatCode>General</c:formatCode>
                <c:ptCount val="1"/>
                <c:pt idx="0">
                  <c:v>0</c:v>
                </c:pt>
              </c:numCache>
            </c:numRef>
          </c:val>
          <c:extLst>
            <c:ext xmlns:c16="http://schemas.microsoft.com/office/drawing/2014/chart" uri="{C3380CC4-5D6E-409C-BE32-E72D297353CC}">
              <c16:uniqueId val="{00000003-6EF3-4C61-8B8D-9C501A5E2FAC}"/>
            </c:ext>
          </c:extLst>
        </c:ser>
        <c:ser>
          <c:idx val="4"/>
          <c:order val="4"/>
          <c:tx>
            <c:strRef>
              <c:f>'Project Specific Reports'!$A$32</c:f>
              <c:strCache>
                <c:ptCount val="1"/>
                <c:pt idx="0">
                  <c:v>Cancelled</c:v>
                </c:pt>
              </c:strCache>
            </c:strRef>
          </c:tx>
          <c:invertIfNegative val="0"/>
          <c:val>
            <c:numRef>
              <c:f>'Project Specific Reports'!$B$32</c:f>
              <c:numCache>
                <c:formatCode>General</c:formatCode>
                <c:ptCount val="1"/>
                <c:pt idx="0">
                  <c:v>0</c:v>
                </c:pt>
              </c:numCache>
            </c:numRef>
          </c:val>
          <c:extLst>
            <c:ext xmlns:c16="http://schemas.microsoft.com/office/drawing/2014/chart" uri="{C3380CC4-5D6E-409C-BE32-E72D297353CC}">
              <c16:uniqueId val="{00000004-6EF3-4C61-8B8D-9C501A5E2FAC}"/>
            </c:ext>
          </c:extLst>
        </c:ser>
        <c:dLbls>
          <c:showLegendKey val="0"/>
          <c:showVal val="0"/>
          <c:showCatName val="0"/>
          <c:showSerName val="0"/>
          <c:showPercent val="0"/>
          <c:showBubbleSize val="0"/>
        </c:dLbls>
        <c:gapWidth val="150"/>
        <c:overlap val="100"/>
        <c:axId val="222298552"/>
        <c:axId val="222305216"/>
      </c:barChart>
      <c:catAx>
        <c:axId val="222298552"/>
        <c:scaling>
          <c:orientation val="minMax"/>
        </c:scaling>
        <c:delete val="0"/>
        <c:axPos val="b"/>
        <c:majorTickMark val="out"/>
        <c:minorTickMark val="none"/>
        <c:tickLblPos val="nextTo"/>
        <c:crossAx val="222305216"/>
        <c:crosses val="autoZero"/>
        <c:auto val="1"/>
        <c:lblAlgn val="ctr"/>
        <c:lblOffset val="100"/>
        <c:noMultiLvlLbl val="0"/>
      </c:catAx>
      <c:valAx>
        <c:axId val="222305216"/>
        <c:scaling>
          <c:orientation val="minMax"/>
        </c:scaling>
        <c:delete val="0"/>
        <c:axPos val="l"/>
        <c:majorGridlines/>
        <c:numFmt formatCode="0%" sourceLinked="1"/>
        <c:majorTickMark val="out"/>
        <c:minorTickMark val="none"/>
        <c:tickLblPos val="nextTo"/>
        <c:crossAx val="222298552"/>
        <c:crosses val="autoZero"/>
        <c:crossBetween val="between"/>
      </c:valAx>
    </c:plotArea>
    <c:legend>
      <c:legendPos val="r"/>
      <c:overlay val="0"/>
    </c:legend>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1173480</xdr:colOff>
          <xdr:row>1</xdr:row>
          <xdr:rowOff>7620</xdr:rowOff>
        </xdr:from>
        <xdr:to>
          <xdr:col>5</xdr:col>
          <xdr:colOff>358140</xdr:colOff>
          <xdr:row>2</xdr:row>
          <xdr:rowOff>114300</xdr:rowOff>
        </xdr:to>
        <xdr:sp macro="" textlink="">
          <xdr:nvSpPr>
            <xdr:cNvPr id="6274" name="BtnInsertNewLineAtEnd" hidden="1">
              <a:extLst>
                <a:ext uri="{63B3BB69-23CF-44E3-9099-C40C66FF867C}">
                  <a14:compatExt spid="_x0000_s6274"/>
                </a:ext>
                <a:ext uri="{FF2B5EF4-FFF2-40B4-BE49-F238E27FC236}">
                  <a16:creationId xmlns:a16="http://schemas.microsoft.com/office/drawing/2014/main" id="{00000000-0008-0000-0000-00008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xdr:row>
          <xdr:rowOff>7620</xdr:rowOff>
        </xdr:from>
        <xdr:to>
          <xdr:col>4</xdr:col>
          <xdr:colOff>1097280</xdr:colOff>
          <xdr:row>2</xdr:row>
          <xdr:rowOff>114300</xdr:rowOff>
        </xdr:to>
        <xdr:sp macro="" textlink="">
          <xdr:nvSpPr>
            <xdr:cNvPr id="6275" name="BtnInsertNewLine" hidden="1">
              <a:extLst>
                <a:ext uri="{63B3BB69-23CF-44E3-9099-C40C66FF867C}">
                  <a14:compatExt spid="_x0000_s6275"/>
                </a:ext>
                <a:ext uri="{FF2B5EF4-FFF2-40B4-BE49-F238E27FC236}">
                  <a16:creationId xmlns:a16="http://schemas.microsoft.com/office/drawing/2014/main" id="{00000000-0008-0000-0000-00008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1173480</xdr:colOff>
      <xdr:row>1</xdr:row>
      <xdr:rowOff>7620</xdr:rowOff>
    </xdr:from>
    <xdr:to>
      <xdr:col>5</xdr:col>
      <xdr:colOff>419100</xdr:colOff>
      <xdr:row>2</xdr:row>
      <xdr:rowOff>114300</xdr:rowOff>
    </xdr:to>
    <xdr:sp macro="" textlink="">
      <xdr:nvSpPr>
        <xdr:cNvPr id="2" name="BtnInsertNewLineAtEnd" hidden="1">
          <a:extLst>
            <a:ext uri="{63B3BB69-23CF-44E3-9099-C40C66FF867C}">
              <a14:compatExt xmlns:a14="http://schemas.microsoft.com/office/drawing/2010/main" spid="_x0000_s6276"/>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38100</xdr:colOff>
      <xdr:row>1</xdr:row>
      <xdr:rowOff>7620</xdr:rowOff>
    </xdr:from>
    <xdr:to>
      <xdr:col>4</xdr:col>
      <xdr:colOff>1097280</xdr:colOff>
      <xdr:row>2</xdr:row>
      <xdr:rowOff>114300</xdr:rowOff>
    </xdr:to>
    <xdr:sp macro="" textlink="">
      <xdr:nvSpPr>
        <xdr:cNvPr id="3" name="BtnInsertNewLine" hidden="1">
          <a:extLst>
            <a:ext uri="{63B3BB69-23CF-44E3-9099-C40C66FF867C}">
              <a14:compatExt xmlns:a14="http://schemas.microsoft.com/office/drawing/2010/main" spid="_x0000_s6277"/>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1173480</xdr:colOff>
      <xdr:row>1</xdr:row>
      <xdr:rowOff>7620</xdr:rowOff>
    </xdr:from>
    <xdr:to>
      <xdr:col>5</xdr:col>
      <xdr:colOff>419100</xdr:colOff>
      <xdr:row>2</xdr:row>
      <xdr:rowOff>114300</xdr:rowOff>
    </xdr:to>
    <xdr:pic>
      <xdr:nvPicPr>
        <xdr:cNvPr id="6276" name="Picture 1156">
          <a:extLst>
            <a:ext uri="{FF2B5EF4-FFF2-40B4-BE49-F238E27FC236}">
              <a16:creationId xmlns:a16="http://schemas.microsoft.com/office/drawing/2014/main" id="{00000000-0008-0000-0000-00008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7620" y="175260"/>
          <a:ext cx="1295400" cy="2743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xdr:col>
      <xdr:colOff>38100</xdr:colOff>
      <xdr:row>1</xdr:row>
      <xdr:rowOff>7620</xdr:rowOff>
    </xdr:from>
    <xdr:to>
      <xdr:col>4</xdr:col>
      <xdr:colOff>1097280</xdr:colOff>
      <xdr:row>2</xdr:row>
      <xdr:rowOff>114300</xdr:rowOff>
    </xdr:to>
    <xdr:pic>
      <xdr:nvPicPr>
        <xdr:cNvPr id="6277" name="Picture 1157">
          <a:extLst>
            <a:ext uri="{FF2B5EF4-FFF2-40B4-BE49-F238E27FC236}">
              <a16:creationId xmlns:a16="http://schemas.microsoft.com/office/drawing/2014/main" id="{00000000-0008-0000-0000-00008518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82240" y="175260"/>
          <a:ext cx="1059180" cy="2743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28574</xdr:colOff>
      <xdr:row>1</xdr:row>
      <xdr:rowOff>123825</xdr:rowOff>
    </xdr:from>
    <xdr:to>
      <xdr:col>17</xdr:col>
      <xdr:colOff>609599</xdr:colOff>
      <xdr:row>17</xdr:row>
      <xdr:rowOff>57150</xdr:rowOff>
    </xdr:to>
    <xdr:graphicFrame macro="">
      <xdr:nvGraphicFramePr>
        <xdr:cNvPr id="7296" name="Chart 1">
          <a:extLst>
            <a:ext uri="{FF2B5EF4-FFF2-40B4-BE49-F238E27FC236}">
              <a16:creationId xmlns:a16="http://schemas.microsoft.com/office/drawing/2014/main" id="{00000000-0008-0000-0100-000080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123825</xdr:rowOff>
    </xdr:from>
    <xdr:to>
      <xdr:col>10</xdr:col>
      <xdr:colOff>514350</xdr:colOff>
      <xdr:row>17</xdr:row>
      <xdr:rowOff>66675</xdr:rowOff>
    </xdr:to>
    <xdr:graphicFrame macro="">
      <xdr:nvGraphicFramePr>
        <xdr:cNvPr id="7297" name="Chart 2">
          <a:extLst>
            <a:ext uri="{FF2B5EF4-FFF2-40B4-BE49-F238E27FC236}">
              <a16:creationId xmlns:a16="http://schemas.microsoft.com/office/drawing/2014/main" id="{00000000-0008-0000-0100-000081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28574</xdr:colOff>
      <xdr:row>1</xdr:row>
      <xdr:rowOff>123825</xdr:rowOff>
    </xdr:from>
    <xdr:to>
      <xdr:col>17</xdr:col>
      <xdr:colOff>609599</xdr:colOff>
      <xdr:row>17</xdr:row>
      <xdr:rowOff>57150</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xdr:row>
      <xdr:rowOff>123825</xdr:rowOff>
    </xdr:from>
    <xdr:to>
      <xdr:col>10</xdr:col>
      <xdr:colOff>514350</xdr:colOff>
      <xdr:row>17</xdr:row>
      <xdr:rowOff>66675</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28574</xdr:colOff>
      <xdr:row>1</xdr:row>
      <xdr:rowOff>123825</xdr:rowOff>
    </xdr:from>
    <xdr:to>
      <xdr:col>17</xdr:col>
      <xdr:colOff>609599</xdr:colOff>
      <xdr:row>17</xdr:row>
      <xdr:rowOff>57150</xdr:rowOff>
    </xdr:to>
    <xdr:graphicFrame macro="">
      <xdr:nvGraphicFramePr>
        <xdr:cNvPr id="4" name="Chart 1">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123825</xdr:rowOff>
    </xdr:from>
    <xdr:to>
      <xdr:col>10</xdr:col>
      <xdr:colOff>514350</xdr:colOff>
      <xdr:row>17</xdr:row>
      <xdr:rowOff>66675</xdr:rowOff>
    </xdr:to>
    <xdr:graphicFrame macro="">
      <xdr:nvGraphicFramePr>
        <xdr:cNvPr id="5" name="Chart 2">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28575</xdr:colOff>
      <xdr:row>1</xdr:row>
      <xdr:rowOff>19050</xdr:rowOff>
    </xdr:from>
    <xdr:to>
      <xdr:col>11</xdr:col>
      <xdr:colOff>333375</xdr:colOff>
      <xdr:row>15</xdr:row>
      <xdr:rowOff>95250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495300</xdr:colOff>
      <xdr:row>1</xdr:row>
      <xdr:rowOff>19050</xdr:rowOff>
    </xdr:from>
    <xdr:to>
      <xdr:col>19</xdr:col>
      <xdr:colOff>190500</xdr:colOff>
      <xdr:row>15</xdr:row>
      <xdr:rowOff>95250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28575</xdr:colOff>
      <xdr:row>17</xdr:row>
      <xdr:rowOff>0</xdr:rowOff>
    </xdr:from>
    <xdr:to>
      <xdr:col>11</xdr:col>
      <xdr:colOff>333375</xdr:colOff>
      <xdr:row>31</xdr:row>
      <xdr:rowOff>104775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E204"/>
  <sheetViews>
    <sheetView tabSelected="1" zoomScaleNormal="100" workbookViewId="0">
      <pane xSplit="8" ySplit="3" topLeftCell="R70" activePane="bottomRight" state="frozen"/>
      <selection pane="topRight" activeCell="F1" sqref="F1"/>
      <selection pane="bottomLeft" activeCell="A3" sqref="A3"/>
      <selection pane="bottomRight" activeCell="S4" sqref="S4:AY198"/>
    </sheetView>
  </sheetViews>
  <sheetFormatPr defaultColWidth="9.109375" defaultRowHeight="13.2" outlineLevelCol="1" x14ac:dyDescent="0.25"/>
  <cols>
    <col min="1" max="1" width="3.88671875" style="6" customWidth="1"/>
    <col min="2" max="2" width="3.44140625" style="6" customWidth="1"/>
    <col min="3" max="3" width="2.6640625" style="6" customWidth="1"/>
    <col min="4" max="4" width="2.21875" style="6" customWidth="1"/>
    <col min="5" max="5" width="29.88671875" style="6" customWidth="1"/>
    <col min="6" max="6" width="32" style="6" customWidth="1"/>
    <col min="7" max="7" width="7" style="6" customWidth="1"/>
    <col min="8" max="8" width="5.33203125" style="6" bestFit="1" customWidth="1"/>
    <col min="9" max="9" width="4.33203125" style="6" customWidth="1"/>
    <col min="10" max="11" width="3.33203125" style="144" customWidth="1"/>
    <col min="12" max="12" width="2.44140625" style="6" customWidth="1"/>
    <col min="13" max="14" width="3.33203125" style="6" customWidth="1"/>
    <col min="15" max="15" width="2.44140625" style="6" customWidth="1"/>
    <col min="16" max="17" width="3.33203125" style="6" customWidth="1"/>
    <col min="18" max="18" width="2.44140625" style="6" customWidth="1"/>
    <col min="19" max="20" width="3.33203125" style="6" customWidth="1"/>
    <col min="21" max="21" width="2.44140625" style="6" customWidth="1"/>
    <col min="22" max="23" width="3.33203125" style="6" customWidth="1"/>
    <col min="24" max="24" width="2.44140625" style="6" customWidth="1"/>
    <col min="25" max="26" width="3.33203125" style="6" customWidth="1"/>
    <col min="27" max="27" width="2.44140625" style="6" customWidth="1"/>
    <col min="28" max="29" width="3.33203125" style="6" customWidth="1"/>
    <col min="30" max="30" width="2.44140625" style="6" customWidth="1"/>
    <col min="31" max="32" width="3.33203125" style="6" customWidth="1"/>
    <col min="33" max="33" width="2.44140625" style="6" customWidth="1"/>
    <col min="34" max="35" width="3.33203125" style="6" customWidth="1"/>
    <col min="36" max="36" width="2.44140625" style="6" customWidth="1"/>
    <col min="37" max="38" width="3.33203125" style="6" customWidth="1"/>
    <col min="39" max="39" width="2.44140625" style="6" customWidth="1"/>
    <col min="40" max="41" width="3.33203125" style="6" customWidth="1"/>
    <col min="42" max="42" width="2.44140625" style="6" customWidth="1"/>
    <col min="43" max="44" width="3.33203125" style="6" customWidth="1"/>
    <col min="45" max="45" width="2.44140625" style="6" customWidth="1"/>
    <col min="46" max="47" width="3.33203125" style="6" customWidth="1"/>
    <col min="48" max="48" width="2.44140625" style="6" customWidth="1"/>
    <col min="49" max="50" width="3.33203125" style="6" customWidth="1"/>
    <col min="51" max="51" width="2.44140625" style="6" customWidth="1"/>
    <col min="52" max="53" width="3.33203125" style="6" hidden="1" customWidth="1" outlineLevel="1"/>
    <col min="54" max="54" width="2.44140625" style="6" hidden="1" customWidth="1" outlineLevel="1"/>
    <col min="55" max="56" width="3.33203125" style="6" hidden="1" customWidth="1" outlineLevel="1"/>
    <col min="57" max="57" width="2.44140625" style="6" hidden="1" customWidth="1" outlineLevel="1"/>
    <col min="58" max="59" width="3.33203125" style="6" hidden="1" customWidth="1" outlineLevel="1"/>
    <col min="60" max="60" width="2.44140625" style="6" hidden="1" customWidth="1" outlineLevel="1"/>
    <col min="61" max="62" width="3.33203125" style="6" hidden="1" customWidth="1" outlineLevel="1"/>
    <col min="63" max="63" width="2.44140625" style="6" hidden="1" customWidth="1" outlineLevel="1"/>
    <col min="64" max="65" width="3.33203125" style="6" hidden="1" customWidth="1" outlineLevel="1"/>
    <col min="66" max="66" width="2.44140625" style="6" hidden="1" customWidth="1" outlineLevel="1"/>
    <col min="67" max="68" width="3.33203125" style="6" hidden="1" customWidth="1" outlineLevel="1"/>
    <col min="69" max="69" width="2.44140625" style="6" hidden="1" customWidth="1" outlineLevel="1"/>
    <col min="70" max="71" width="3.33203125" style="6" hidden="1" customWidth="1" outlineLevel="1"/>
    <col min="72" max="72" width="2.44140625" style="6" hidden="1" customWidth="1" outlineLevel="1"/>
    <col min="73" max="74" width="3.33203125" style="6" hidden="1" customWidth="1" outlineLevel="1"/>
    <col min="75" max="75" width="2.44140625" style="6" hidden="1" customWidth="1" outlineLevel="1"/>
    <col min="76" max="77" width="3.33203125" style="6" hidden="1" customWidth="1" outlineLevel="1"/>
    <col min="78" max="78" width="2.44140625" style="6" hidden="1" customWidth="1" outlineLevel="1"/>
    <col min="79" max="80" width="3.33203125" style="6" hidden="1" customWidth="1" outlineLevel="1"/>
    <col min="81" max="81" width="2.44140625" style="6" hidden="1" customWidth="1" outlineLevel="1"/>
    <col min="82" max="82" width="2.44140625" style="6" customWidth="1" collapsed="1"/>
    <col min="83" max="83" width="8.109375" style="6" customWidth="1"/>
    <col min="84" max="16384" width="9.109375" style="6"/>
  </cols>
  <sheetData>
    <row r="1" spans="1:83" x14ac:dyDescent="0.25">
      <c r="A1" s="1"/>
      <c r="B1" s="1"/>
      <c r="C1" s="1"/>
      <c r="D1" s="1"/>
      <c r="E1" s="2"/>
      <c r="F1" s="3" t="s">
        <v>23</v>
      </c>
      <c r="G1" s="4">
        <f>SprintStart</f>
        <v>39314</v>
      </c>
      <c r="H1" s="1"/>
      <c r="I1" s="1"/>
      <c r="J1" s="170">
        <f>SprintStart</f>
        <v>39314</v>
      </c>
      <c r="K1" s="170"/>
      <c r="L1" s="170"/>
      <c r="M1" s="170">
        <f>IF(AND(SkipWeekends, WEEKDAY(J1)=6),J1+3, J1+1)</f>
        <v>39315</v>
      </c>
      <c r="N1" s="170"/>
      <c r="O1" s="170"/>
      <c r="P1" s="170">
        <f>IF(AND(SkipWeekends, WEEKDAY(M1)=6),M1+3, M1+1)</f>
        <v>39316</v>
      </c>
      <c r="Q1" s="170"/>
      <c r="R1" s="170"/>
      <c r="S1" s="170">
        <f>IF(AND(SkipWeekends, WEEKDAY(P1)=6),P1+3, P1+1)</f>
        <v>39317</v>
      </c>
      <c r="T1" s="170"/>
      <c r="U1" s="170"/>
      <c r="V1" s="170">
        <f>IF(AND(SkipWeekends, WEEKDAY(S1)=6),S1+3, S1+1)</f>
        <v>39318</v>
      </c>
      <c r="W1" s="170"/>
      <c r="X1" s="170"/>
      <c r="Y1" s="170">
        <f>IF(AND(SkipWeekends, WEEKDAY(V1)=6),V1+3, V1+1)</f>
        <v>39319</v>
      </c>
      <c r="Z1" s="170"/>
      <c r="AA1" s="170"/>
      <c r="AB1" s="170">
        <f>IF(AND(SkipWeekends, WEEKDAY(Y1)=6),Y1+3, Y1+1)</f>
        <v>39320</v>
      </c>
      <c r="AC1" s="170"/>
      <c r="AD1" s="170"/>
      <c r="AE1" s="170">
        <f>IF(AND(SkipWeekends, WEEKDAY(AB1)=6),AB1+3, AB1+1)</f>
        <v>39321</v>
      </c>
      <c r="AF1" s="170"/>
      <c r="AG1" s="170"/>
      <c r="AH1" s="170">
        <f>IF(AND(SkipWeekends, WEEKDAY(AE1)=6),AE1+3, AE1+1)</f>
        <v>39322</v>
      </c>
      <c r="AI1" s="170"/>
      <c r="AJ1" s="170"/>
      <c r="AK1" s="170">
        <f>IF(AND(SkipWeekends, WEEKDAY(AH1)=6),AH1+3, AH1+1)</f>
        <v>39323</v>
      </c>
      <c r="AL1" s="170"/>
      <c r="AM1" s="170"/>
      <c r="AN1" s="170">
        <f>IF(AND(SkipWeekends, WEEKDAY(AK1)=6),AK1+3, AK1+1)</f>
        <v>39324</v>
      </c>
      <c r="AO1" s="170"/>
      <c r="AP1" s="170"/>
      <c r="AQ1" s="170">
        <f>IF(AND(SkipWeekends, WEEKDAY(AN1)=6),AN1+3, AN1+1)</f>
        <v>39325</v>
      </c>
      <c r="AR1" s="170"/>
      <c r="AS1" s="170"/>
      <c r="AT1" s="170">
        <f>IF(AND(SkipWeekends, WEEKDAY(AQ1)=6),AQ1+3, AQ1+1)</f>
        <v>39326</v>
      </c>
      <c r="AU1" s="170"/>
      <c r="AV1" s="170"/>
      <c r="AW1" s="170">
        <f>IF(AND(SkipWeekends, WEEKDAY(AT1)=6),AT1+3, AT1+1)</f>
        <v>39327</v>
      </c>
      <c r="AX1" s="170"/>
      <c r="AY1" s="170"/>
      <c r="AZ1" s="170" t="e">
        <f>IF(AND(SkipWeekends, WEEKDAY(#REF!)=6),#REF!+3,#REF!+ 1)</f>
        <v>#REF!</v>
      </c>
      <c r="BA1" s="170"/>
      <c r="BB1" s="170"/>
      <c r="BC1" s="170" t="e">
        <f>IF(AND(SkipWeekends, WEEKDAY(AZ1)=6),AZ1+3, AZ1+1)</f>
        <v>#REF!</v>
      </c>
      <c r="BD1" s="170"/>
      <c r="BE1" s="170"/>
      <c r="BF1" s="170" t="e">
        <f>IF(AND(SkipWeekends, WEEKDAY(BC1)=6),BC1+3, BC1+1)</f>
        <v>#REF!</v>
      </c>
      <c r="BG1" s="170"/>
      <c r="BH1" s="170"/>
      <c r="BI1" s="170" t="e">
        <f>IF(AND(SkipWeekends, WEEKDAY(BF1)=6),BF1+3, BF1+1)</f>
        <v>#REF!</v>
      </c>
      <c r="BJ1" s="170"/>
      <c r="BK1" s="170"/>
      <c r="BL1" s="170" t="e">
        <f>IF(AND(SkipWeekends, WEEKDAY(BI1)=6),BI1+3, BI1+1)</f>
        <v>#REF!</v>
      </c>
      <c r="BM1" s="170"/>
      <c r="BN1" s="170"/>
      <c r="BO1" s="170" t="e">
        <f>IF(AND(SkipWeekends, WEEKDAY(BL1)=6),BL1+3, BL1+1)</f>
        <v>#REF!</v>
      </c>
      <c r="BP1" s="170"/>
      <c r="BQ1" s="170"/>
      <c r="BR1" s="170" t="e">
        <f>IF(AND(SkipWeekends, WEEKDAY(BO1)=6),BO1+3, BO1+1)</f>
        <v>#REF!</v>
      </c>
      <c r="BS1" s="170"/>
      <c r="BT1" s="170"/>
      <c r="BU1" s="170" t="e">
        <f>IF(AND(SkipWeekends, WEEKDAY(BR1)=6),BR1+3, BR1+1)</f>
        <v>#REF!</v>
      </c>
      <c r="BV1" s="170"/>
      <c r="BW1" s="170"/>
      <c r="BX1" s="170" t="e">
        <f>IF(AND(SkipWeekends, WEEKDAY(BU1)=6),BU1+3, BU1+1)</f>
        <v>#REF!</v>
      </c>
      <c r="BY1" s="170"/>
      <c r="BZ1" s="170"/>
      <c r="CA1" s="170" t="e">
        <f>IF(AND(SkipWeekends, WEEKDAY(BX1)=6),BX1+3, BX1+1)</f>
        <v>#REF!</v>
      </c>
      <c r="CB1" s="170"/>
      <c r="CC1" s="170"/>
      <c r="CD1" s="5"/>
      <c r="CE1" s="1"/>
    </row>
    <row r="2" spans="1:83" x14ac:dyDescent="0.25">
      <c r="A2" s="1"/>
      <c r="B2" s="1"/>
      <c r="C2" s="1"/>
      <c r="D2" s="1"/>
      <c r="E2" s="7"/>
      <c r="F2" s="8"/>
      <c r="G2" s="9"/>
      <c r="H2" s="1"/>
      <c r="I2" s="1"/>
      <c r="J2" s="141"/>
      <c r="K2" s="141" t="s">
        <v>57</v>
      </c>
      <c r="L2" s="10"/>
      <c r="M2" s="10"/>
      <c r="N2" s="10" t="s">
        <v>58</v>
      </c>
      <c r="O2" s="10"/>
      <c r="P2" s="10"/>
      <c r="Q2" s="10" t="s">
        <v>59</v>
      </c>
      <c r="R2" s="10"/>
      <c r="S2" s="10"/>
      <c r="T2" s="10" t="s">
        <v>60</v>
      </c>
      <c r="U2" s="10"/>
      <c r="V2" s="10"/>
      <c r="W2" s="10" t="s">
        <v>61</v>
      </c>
      <c r="X2" s="10"/>
      <c r="Y2" s="10"/>
      <c r="Z2" s="10" t="s">
        <v>62</v>
      </c>
      <c r="AA2" s="10"/>
      <c r="AB2" s="10"/>
      <c r="AC2" s="10" t="s">
        <v>63</v>
      </c>
      <c r="AD2" s="10"/>
      <c r="AE2" s="10"/>
      <c r="AF2" s="10" t="s">
        <v>64</v>
      </c>
      <c r="AG2" s="10"/>
      <c r="AH2" s="10"/>
      <c r="AI2" s="10" t="s">
        <v>65</v>
      </c>
      <c r="AJ2" s="10"/>
      <c r="AK2" s="10"/>
      <c r="AL2" s="10" t="s">
        <v>66</v>
      </c>
      <c r="AM2" s="10"/>
      <c r="AN2" s="10"/>
      <c r="AO2" s="10" t="s">
        <v>67</v>
      </c>
      <c r="AP2" s="10"/>
      <c r="AQ2" s="10"/>
      <c r="AR2" s="10" t="s">
        <v>68</v>
      </c>
      <c r="AS2" s="10"/>
      <c r="AT2" s="10"/>
      <c r="AU2" s="10" t="s">
        <v>69</v>
      </c>
      <c r="AV2" s="10"/>
      <c r="AW2" s="10"/>
      <c r="AX2" s="10" t="s">
        <v>70</v>
      </c>
      <c r="AY2" s="10"/>
      <c r="AZ2" s="10"/>
      <c r="BA2" s="10" t="s">
        <v>71</v>
      </c>
      <c r="BB2" s="10"/>
      <c r="BC2" s="10"/>
      <c r="BD2" s="10" t="s">
        <v>72</v>
      </c>
      <c r="BE2" s="10"/>
      <c r="BF2" s="10"/>
      <c r="BG2" s="10" t="s">
        <v>73</v>
      </c>
      <c r="BH2" s="10"/>
      <c r="BI2" s="10"/>
      <c r="BJ2" s="10" t="s">
        <v>74</v>
      </c>
      <c r="BK2" s="10"/>
      <c r="BL2" s="10"/>
      <c r="BM2" s="10" t="s">
        <v>75</v>
      </c>
      <c r="BN2" s="10"/>
      <c r="BO2" s="10"/>
      <c r="BP2" s="10" t="s">
        <v>76</v>
      </c>
      <c r="BQ2" s="10"/>
      <c r="BR2" s="10"/>
      <c r="BS2" s="10" t="s">
        <v>77</v>
      </c>
      <c r="BT2" s="10"/>
      <c r="BU2" s="10"/>
      <c r="BV2" s="10" t="s">
        <v>78</v>
      </c>
      <c r="BW2" s="10"/>
      <c r="BX2" s="10"/>
      <c r="BY2" s="10" t="s">
        <v>79</v>
      </c>
      <c r="BZ2" s="10"/>
      <c r="CA2" s="10"/>
      <c r="CB2" s="10" t="s">
        <v>80</v>
      </c>
      <c r="CC2" s="10"/>
      <c r="CD2" s="5"/>
      <c r="CE2" s="1"/>
    </row>
    <row r="3" spans="1:83" ht="38.25" customHeight="1" x14ac:dyDescent="0.25">
      <c r="A3" s="11" t="s">
        <v>100</v>
      </c>
      <c r="B3" s="11" t="s">
        <v>101</v>
      </c>
      <c r="C3" s="11" t="s">
        <v>81</v>
      </c>
      <c r="D3" s="11" t="s">
        <v>82</v>
      </c>
      <c r="E3" s="1" t="s">
        <v>83</v>
      </c>
      <c r="F3" s="1" t="s">
        <v>91</v>
      </c>
      <c r="G3" s="1" t="s">
        <v>0</v>
      </c>
      <c r="H3" s="12" t="s">
        <v>1</v>
      </c>
      <c r="I3" s="12" t="s">
        <v>84</v>
      </c>
      <c r="J3" s="142" t="s">
        <v>12</v>
      </c>
      <c r="K3" s="143" t="s">
        <v>2</v>
      </c>
      <c r="L3" s="14"/>
      <c r="M3" s="13" t="s">
        <v>12</v>
      </c>
      <c r="N3" s="14" t="s">
        <v>2</v>
      </c>
      <c r="O3" s="14"/>
      <c r="P3" s="13" t="s">
        <v>12</v>
      </c>
      <c r="Q3" s="14" t="s">
        <v>2</v>
      </c>
      <c r="R3" s="14"/>
      <c r="S3" s="13" t="s">
        <v>12</v>
      </c>
      <c r="T3" s="14" t="s">
        <v>2</v>
      </c>
      <c r="U3" s="14"/>
      <c r="V3" s="13" t="s">
        <v>12</v>
      </c>
      <c r="W3" s="14" t="s">
        <v>2</v>
      </c>
      <c r="X3" s="14"/>
      <c r="Y3" s="13" t="s">
        <v>12</v>
      </c>
      <c r="Z3" s="14" t="s">
        <v>2</v>
      </c>
      <c r="AA3" s="14"/>
      <c r="AB3" s="13" t="s">
        <v>12</v>
      </c>
      <c r="AC3" s="14" t="s">
        <v>2</v>
      </c>
      <c r="AD3" s="14"/>
      <c r="AE3" s="13" t="s">
        <v>12</v>
      </c>
      <c r="AF3" s="14" t="s">
        <v>2</v>
      </c>
      <c r="AG3" s="14"/>
      <c r="AH3" s="13" t="s">
        <v>12</v>
      </c>
      <c r="AI3" s="14" t="s">
        <v>2</v>
      </c>
      <c r="AJ3" s="14"/>
      <c r="AK3" s="13" t="s">
        <v>12</v>
      </c>
      <c r="AL3" s="14" t="s">
        <v>2</v>
      </c>
      <c r="AM3" s="14"/>
      <c r="AN3" s="13" t="s">
        <v>12</v>
      </c>
      <c r="AO3" s="14" t="s">
        <v>2</v>
      </c>
      <c r="AP3" s="14"/>
      <c r="AQ3" s="13" t="s">
        <v>12</v>
      </c>
      <c r="AR3" s="14" t="s">
        <v>2</v>
      </c>
      <c r="AS3" s="14"/>
      <c r="AT3" s="13" t="s">
        <v>12</v>
      </c>
      <c r="AU3" s="14" t="s">
        <v>2</v>
      </c>
      <c r="AV3" s="14"/>
      <c r="AW3" s="13" t="s">
        <v>12</v>
      </c>
      <c r="AX3" s="14" t="s">
        <v>2</v>
      </c>
      <c r="AY3" s="14"/>
      <c r="AZ3" s="13" t="s">
        <v>12</v>
      </c>
      <c r="BA3" s="14" t="s">
        <v>2</v>
      </c>
      <c r="BB3" s="14"/>
      <c r="BC3" s="13" t="s">
        <v>12</v>
      </c>
      <c r="BD3" s="14" t="s">
        <v>2</v>
      </c>
      <c r="BE3" s="14"/>
      <c r="BF3" s="13" t="s">
        <v>12</v>
      </c>
      <c r="BG3" s="14" t="s">
        <v>2</v>
      </c>
      <c r="BH3" s="14"/>
      <c r="BI3" s="13" t="s">
        <v>12</v>
      </c>
      <c r="BJ3" s="14" t="s">
        <v>2</v>
      </c>
      <c r="BK3" s="14"/>
      <c r="BL3" s="13" t="s">
        <v>12</v>
      </c>
      <c r="BM3" s="14" t="s">
        <v>2</v>
      </c>
      <c r="BN3" s="14"/>
      <c r="BO3" s="13" t="s">
        <v>12</v>
      </c>
      <c r="BP3" s="14" t="s">
        <v>2</v>
      </c>
      <c r="BQ3" s="14"/>
      <c r="BR3" s="13" t="s">
        <v>12</v>
      </c>
      <c r="BS3" s="14" t="s">
        <v>2</v>
      </c>
      <c r="BT3" s="14"/>
      <c r="BU3" s="13" t="s">
        <v>12</v>
      </c>
      <c r="BV3" s="14" t="s">
        <v>2</v>
      </c>
      <c r="BW3" s="14"/>
      <c r="BX3" s="13" t="s">
        <v>12</v>
      </c>
      <c r="BY3" s="14" t="s">
        <v>2</v>
      </c>
      <c r="BZ3" s="14"/>
      <c r="CA3" s="13" t="s">
        <v>12</v>
      </c>
      <c r="CB3" s="14" t="s">
        <v>2</v>
      </c>
      <c r="CC3" s="14"/>
      <c r="CD3" s="14"/>
      <c r="CE3" s="15" t="s">
        <v>30</v>
      </c>
    </row>
    <row r="4" spans="1:83" x14ac:dyDescent="0.25">
      <c r="A4" s="16" t="s">
        <v>103</v>
      </c>
      <c r="B4" s="16" t="s">
        <v>110</v>
      </c>
      <c r="C4" s="16" t="s">
        <v>133</v>
      </c>
      <c r="D4" s="17">
        <v>1</v>
      </c>
      <c r="E4" s="158" t="s">
        <v>301</v>
      </c>
      <c r="F4" s="158" t="s">
        <v>495</v>
      </c>
      <c r="G4" s="169"/>
      <c r="H4" s="20">
        <v>1</v>
      </c>
      <c r="I4" s="21">
        <v>6</v>
      </c>
      <c r="J4" s="21">
        <v>0</v>
      </c>
      <c r="K4" s="21">
        <v>0</v>
      </c>
      <c r="L4" s="21">
        <v>0</v>
      </c>
      <c r="M4" s="21">
        <v>0</v>
      </c>
      <c r="N4" s="21">
        <v>0</v>
      </c>
      <c r="O4" s="21">
        <v>0</v>
      </c>
      <c r="P4" s="21">
        <v>0</v>
      </c>
      <c r="Q4" s="21">
        <v>0</v>
      </c>
      <c r="R4" s="21">
        <v>0</v>
      </c>
      <c r="S4" s="21">
        <v>0</v>
      </c>
      <c r="T4" s="21">
        <v>0</v>
      </c>
      <c r="U4" s="21">
        <v>0</v>
      </c>
      <c r="V4" s="21">
        <v>0</v>
      </c>
      <c r="W4" s="21">
        <v>0</v>
      </c>
      <c r="X4" s="21">
        <v>0</v>
      </c>
      <c r="Y4" s="21">
        <v>0</v>
      </c>
      <c r="Z4" s="21">
        <v>0</v>
      </c>
      <c r="AA4" s="21">
        <v>0</v>
      </c>
      <c r="AB4" s="21">
        <v>0</v>
      </c>
      <c r="AC4" s="21">
        <v>0</v>
      </c>
      <c r="AD4" s="21">
        <v>0</v>
      </c>
      <c r="AE4" s="21">
        <v>0</v>
      </c>
      <c r="AF4" s="21">
        <v>0</v>
      </c>
      <c r="AG4" s="21">
        <v>0</v>
      </c>
      <c r="AH4" s="21">
        <v>0</v>
      </c>
      <c r="AI4" s="21">
        <v>0</v>
      </c>
      <c r="AJ4" s="21">
        <v>0</v>
      </c>
      <c r="AK4" s="21">
        <v>0</v>
      </c>
      <c r="AL4" s="21">
        <v>0</v>
      </c>
      <c r="AM4" s="21">
        <v>0</v>
      </c>
      <c r="AN4" s="21">
        <v>0</v>
      </c>
      <c r="AO4" s="21">
        <v>0</v>
      </c>
      <c r="AP4" s="21">
        <v>0</v>
      </c>
      <c r="AQ4" s="21">
        <v>0</v>
      </c>
      <c r="AR4" s="21">
        <v>0</v>
      </c>
      <c r="AS4" s="21">
        <v>0</v>
      </c>
      <c r="AT4" s="21">
        <v>0</v>
      </c>
      <c r="AU4" s="21">
        <v>0</v>
      </c>
      <c r="AV4" s="21">
        <v>0</v>
      </c>
      <c r="AW4" s="21">
        <v>0</v>
      </c>
      <c r="AX4" s="21">
        <v>0</v>
      </c>
      <c r="AY4" s="21">
        <v>0</v>
      </c>
      <c r="AZ4" s="22">
        <v>0</v>
      </c>
      <c r="BA4" s="22" t="e">
        <f>MAX(#REF!-AZ4,0)</f>
        <v>#REF!</v>
      </c>
      <c r="BB4" s="23" t="e">
        <f>IF(SUMPRODUCT($J$85:BA$85,$J4:BA4)&lt;0.5, "Pending", IF(BA4&lt;0.5, "Complete", "In Progress"))</f>
        <v>#REF!</v>
      </c>
      <c r="BC4" s="22">
        <v>0</v>
      </c>
      <c r="BD4" s="22" t="e">
        <f t="shared" ref="BD4:BD67" si="0">MAX(BA4-BC4,0)</f>
        <v>#REF!</v>
      </c>
      <c r="BE4" s="23" t="e">
        <f>IF(SUMPRODUCT($J$85:BD$85,$J4:BD4)&lt;0.5, "Pending", IF(BD4&lt;0.5, "Complete", "In Progress"))</f>
        <v>#REF!</v>
      </c>
      <c r="BF4" s="22">
        <v>0</v>
      </c>
      <c r="BG4" s="22" t="e">
        <f t="shared" ref="BG4:BG67" si="1">MAX(BD4-BF4,0)</f>
        <v>#REF!</v>
      </c>
      <c r="BH4" s="23" t="e">
        <f>IF(SUMPRODUCT($J$85:BG$85,$J4:BG4)&lt;0.5, "Pending", IF(BG4&lt;0.5, "Complete", "In Progress"))</f>
        <v>#REF!</v>
      </c>
      <c r="BI4" s="22">
        <v>0</v>
      </c>
      <c r="BJ4" s="22" t="e">
        <f t="shared" ref="BJ4:BJ67" si="2">MAX(BG4-BI4,0)</f>
        <v>#REF!</v>
      </c>
      <c r="BK4" s="23" t="e">
        <f>IF(SUMPRODUCT($J$85:BJ$85,$J4:BJ4)&lt;0.5, "Pending", IF(BJ4&lt;0.5, "Complete", "In Progress"))</f>
        <v>#REF!</v>
      </c>
      <c r="BL4" s="22">
        <v>0</v>
      </c>
      <c r="BM4" s="22" t="e">
        <f t="shared" ref="BM4:BM67" si="3">MAX(BJ4-BL4,0)</f>
        <v>#REF!</v>
      </c>
      <c r="BN4" s="23" t="e">
        <f>IF(SUMPRODUCT($J$85:BM$85,$J4:BM4)&lt;0.5, "Pending", IF(BM4&lt;0.5, "Complete", "In Progress"))</f>
        <v>#REF!</v>
      </c>
      <c r="BO4" s="22">
        <v>0</v>
      </c>
      <c r="BP4" s="22" t="e">
        <f t="shared" ref="BP4:BP67" si="4">MAX(BM4-BO4,0)</f>
        <v>#REF!</v>
      </c>
      <c r="BQ4" s="23" t="e">
        <f>IF(SUMPRODUCT($J$85:BP$85,$J4:BP4)&lt;0.5, "Pending", IF(BP4&lt;0.5, "Complete", "In Progress"))</f>
        <v>#REF!</v>
      </c>
      <c r="BR4" s="22">
        <v>0</v>
      </c>
      <c r="BS4" s="22" t="e">
        <f t="shared" ref="BS4:BS67" si="5">MAX(BP4-BR4,0)</f>
        <v>#REF!</v>
      </c>
      <c r="BT4" s="23" t="e">
        <f>IF(SUMPRODUCT($J$85:BS$85,$J4:BS4)&lt;0.5, "Pending", IF(BS4&lt;0.5, "Complete", "In Progress"))</f>
        <v>#REF!</v>
      </c>
      <c r="BU4" s="22">
        <v>0</v>
      </c>
      <c r="BV4" s="22" t="e">
        <f t="shared" ref="BV4:BV67" si="6">MAX(BS4-BU4,0)</f>
        <v>#REF!</v>
      </c>
      <c r="BW4" s="23" t="e">
        <f>IF(SUMPRODUCT($J$85:BV$85,$J4:BV4)&lt;0.5, "Pending", IF(BV4&lt;0.5, "Complete", "In Progress"))</f>
        <v>#REF!</v>
      </c>
      <c r="BX4" s="22">
        <v>0</v>
      </c>
      <c r="BY4" s="22" t="e">
        <f t="shared" ref="BY4:BY67" si="7">MAX(BV4-BX4,0)</f>
        <v>#REF!</v>
      </c>
      <c r="BZ4" s="23" t="e">
        <f>IF(SUMPRODUCT($J$85:BY$85,$J4:BY4)&lt;0.5, "Pending", IF(BY4&lt;0.5, "Complete", "In Progress"))</f>
        <v>#REF!</v>
      </c>
      <c r="CA4" s="22">
        <v>0</v>
      </c>
      <c r="CB4" s="22" t="e">
        <f t="shared" ref="CB4:CB67" si="8">MAX(BY4-CA4,0)</f>
        <v>#REF!</v>
      </c>
      <c r="CC4" s="23" t="e">
        <f>IF(SUMPRODUCT($J$85:CB$85,$J4:CB4)&lt;0.5, "Pending", IF(CB4&lt;0.5, "Complete", "In Progress"))</f>
        <v>#REF!</v>
      </c>
      <c r="CD4" s="24"/>
      <c r="CE4" s="25">
        <f>SUMPRODUCT($H$85:AY$85,$H4:AY4)</f>
        <v>43</v>
      </c>
    </row>
    <row r="5" spans="1:83" x14ac:dyDescent="0.25">
      <c r="A5" s="16" t="s">
        <v>103</v>
      </c>
      <c r="B5" s="16" t="s">
        <v>109</v>
      </c>
      <c r="C5" s="16" t="s">
        <v>133</v>
      </c>
      <c r="D5" s="17">
        <v>1</v>
      </c>
      <c r="E5" s="158" t="s">
        <v>302</v>
      </c>
      <c r="F5" s="158" t="s">
        <v>493</v>
      </c>
      <c r="G5" s="168"/>
      <c r="H5" s="20">
        <v>1</v>
      </c>
      <c r="I5" s="21">
        <v>56</v>
      </c>
      <c r="J5" s="21">
        <v>0</v>
      </c>
      <c r="K5" s="21">
        <v>0</v>
      </c>
      <c r="L5" s="21">
        <v>0</v>
      </c>
      <c r="M5" s="21">
        <v>0</v>
      </c>
      <c r="N5" s="21">
        <v>0</v>
      </c>
      <c r="O5" s="21">
        <v>0</v>
      </c>
      <c r="P5" s="21">
        <v>0</v>
      </c>
      <c r="Q5" s="21">
        <v>0</v>
      </c>
      <c r="R5" s="21">
        <v>0</v>
      </c>
      <c r="S5" s="21">
        <v>0</v>
      </c>
      <c r="T5" s="21">
        <v>0</v>
      </c>
      <c r="U5" s="21">
        <v>0</v>
      </c>
      <c r="V5" s="21">
        <v>0</v>
      </c>
      <c r="W5" s="21">
        <v>0</v>
      </c>
      <c r="X5" s="21">
        <v>0</v>
      </c>
      <c r="Y5" s="21">
        <v>0</v>
      </c>
      <c r="Z5" s="21">
        <v>0</v>
      </c>
      <c r="AA5" s="21">
        <v>0</v>
      </c>
      <c r="AB5" s="21">
        <v>0</v>
      </c>
      <c r="AC5" s="21">
        <v>0</v>
      </c>
      <c r="AD5" s="21">
        <v>0</v>
      </c>
      <c r="AE5" s="21">
        <v>0</v>
      </c>
      <c r="AF5" s="21">
        <v>0</v>
      </c>
      <c r="AG5" s="21">
        <v>0</v>
      </c>
      <c r="AH5" s="21">
        <v>0</v>
      </c>
      <c r="AI5" s="21">
        <v>0</v>
      </c>
      <c r="AJ5" s="21">
        <v>0</v>
      </c>
      <c r="AK5" s="21">
        <v>0</v>
      </c>
      <c r="AL5" s="21">
        <v>0</v>
      </c>
      <c r="AM5" s="21">
        <v>0</v>
      </c>
      <c r="AN5" s="21">
        <v>0</v>
      </c>
      <c r="AO5" s="21">
        <v>0</v>
      </c>
      <c r="AP5" s="21">
        <v>0</v>
      </c>
      <c r="AQ5" s="21">
        <v>0</v>
      </c>
      <c r="AR5" s="21">
        <v>0</v>
      </c>
      <c r="AS5" s="21">
        <v>0</v>
      </c>
      <c r="AT5" s="21">
        <v>0</v>
      </c>
      <c r="AU5" s="21">
        <v>0</v>
      </c>
      <c r="AV5" s="21">
        <v>0</v>
      </c>
      <c r="AW5" s="21">
        <v>0</v>
      </c>
      <c r="AX5" s="21">
        <v>0</v>
      </c>
      <c r="AY5" s="21">
        <v>0</v>
      </c>
      <c r="AZ5" s="22">
        <v>0</v>
      </c>
      <c r="BA5" s="22" t="e">
        <f>MAX(#REF!-AZ5,0)</f>
        <v>#REF!</v>
      </c>
      <c r="BB5" s="23" t="e">
        <f>IF(SUMPRODUCT($J$85:BA$85,$J5:BA5)&lt;0.5, "Pending", IF(BA5&lt;0.5, "Complete", "In Progress"))</f>
        <v>#REF!</v>
      </c>
      <c r="BC5" s="22">
        <v>0</v>
      </c>
      <c r="BD5" s="22" t="e">
        <f t="shared" si="0"/>
        <v>#REF!</v>
      </c>
      <c r="BE5" s="23" t="e">
        <f>IF(SUMPRODUCT($J$85:BD$85,$J5:BD5)&lt;0.5, "Pending", IF(BD5&lt;0.5, "Complete", "In Progress"))</f>
        <v>#REF!</v>
      </c>
      <c r="BF5" s="22">
        <v>0</v>
      </c>
      <c r="BG5" s="22" t="e">
        <f t="shared" si="1"/>
        <v>#REF!</v>
      </c>
      <c r="BH5" s="23" t="e">
        <f>IF(SUMPRODUCT($J$85:BG$85,$J5:BG5)&lt;0.5, "Pending", IF(BG5&lt;0.5, "Complete", "In Progress"))</f>
        <v>#REF!</v>
      </c>
      <c r="BI5" s="22">
        <v>0</v>
      </c>
      <c r="BJ5" s="22" t="e">
        <f t="shared" si="2"/>
        <v>#REF!</v>
      </c>
      <c r="BK5" s="23" t="e">
        <f>IF(SUMPRODUCT($J$85:BJ$85,$J5:BJ5)&lt;0.5, "Pending", IF(BJ5&lt;0.5, "Complete", "In Progress"))</f>
        <v>#REF!</v>
      </c>
      <c r="BL5" s="22">
        <v>0</v>
      </c>
      <c r="BM5" s="22" t="e">
        <f t="shared" si="3"/>
        <v>#REF!</v>
      </c>
      <c r="BN5" s="23" t="e">
        <f>IF(SUMPRODUCT($J$85:BM$85,$J5:BM5)&lt;0.5, "Pending", IF(BM5&lt;0.5, "Complete", "In Progress"))</f>
        <v>#REF!</v>
      </c>
      <c r="BO5" s="22">
        <v>0</v>
      </c>
      <c r="BP5" s="22" t="e">
        <f t="shared" si="4"/>
        <v>#REF!</v>
      </c>
      <c r="BQ5" s="23" t="e">
        <f>IF(SUMPRODUCT($J$85:BP$85,$J5:BP5)&lt;0.5, "Pending", IF(BP5&lt;0.5, "Complete", "In Progress"))</f>
        <v>#REF!</v>
      </c>
      <c r="BR5" s="22">
        <v>0</v>
      </c>
      <c r="BS5" s="22" t="e">
        <f t="shared" si="5"/>
        <v>#REF!</v>
      </c>
      <c r="BT5" s="23" t="e">
        <f>IF(SUMPRODUCT($J$85:BS$85,$J5:BS5)&lt;0.5, "Pending", IF(BS5&lt;0.5, "Complete", "In Progress"))</f>
        <v>#REF!</v>
      </c>
      <c r="BU5" s="22">
        <v>0</v>
      </c>
      <c r="BV5" s="22" t="e">
        <f t="shared" si="6"/>
        <v>#REF!</v>
      </c>
      <c r="BW5" s="23" t="e">
        <f>IF(SUMPRODUCT($J$85:BV$85,$J5:BV5)&lt;0.5, "Pending", IF(BV5&lt;0.5, "Complete", "In Progress"))</f>
        <v>#REF!</v>
      </c>
      <c r="BX5" s="22">
        <v>0</v>
      </c>
      <c r="BY5" s="22" t="e">
        <f t="shared" si="7"/>
        <v>#REF!</v>
      </c>
      <c r="BZ5" s="23" t="e">
        <f>IF(SUMPRODUCT($J$85:BY$85,$J5:BY5)&lt;0.5, "Pending", IF(BY5&lt;0.5, "Complete", "In Progress"))</f>
        <v>#REF!</v>
      </c>
      <c r="CA5" s="22">
        <v>0</v>
      </c>
      <c r="CB5" s="22" t="e">
        <f t="shared" si="8"/>
        <v>#REF!</v>
      </c>
      <c r="CC5" s="23" t="e">
        <f>IF(SUMPRODUCT($J$85:CB$85,$J5:CB5)&lt;0.5, "Pending", IF(CB5&lt;0.5, "Complete", "In Progress"))</f>
        <v>#REF!</v>
      </c>
      <c r="CD5" s="24"/>
      <c r="CE5" s="25">
        <f>SUMPRODUCT($H$85:AY$85,$H5:AY5)</f>
        <v>393</v>
      </c>
    </row>
    <row r="6" spans="1:83" ht="13.8" customHeight="1" x14ac:dyDescent="0.25">
      <c r="A6" s="16" t="s">
        <v>103</v>
      </c>
      <c r="B6" s="16" t="s">
        <v>110</v>
      </c>
      <c r="C6" s="16" t="s">
        <v>133</v>
      </c>
      <c r="D6" s="17">
        <v>1.1000000000000001</v>
      </c>
      <c r="E6" s="158" t="s">
        <v>303</v>
      </c>
      <c r="F6" s="158" t="s">
        <v>494</v>
      </c>
      <c r="G6" s="19" t="s">
        <v>136</v>
      </c>
      <c r="H6" s="20">
        <v>1</v>
      </c>
      <c r="I6" s="21">
        <v>6</v>
      </c>
      <c r="J6" s="21">
        <v>0</v>
      </c>
      <c r="K6" s="21">
        <v>0</v>
      </c>
      <c r="L6" s="21">
        <v>0</v>
      </c>
      <c r="M6" s="21">
        <v>0</v>
      </c>
      <c r="N6" s="21">
        <v>0</v>
      </c>
      <c r="O6" s="21">
        <v>0</v>
      </c>
      <c r="P6" s="21">
        <v>0</v>
      </c>
      <c r="Q6" s="21">
        <v>0</v>
      </c>
      <c r="R6" s="21">
        <v>0</v>
      </c>
      <c r="S6" s="21">
        <v>0</v>
      </c>
      <c r="T6" s="21">
        <v>0</v>
      </c>
      <c r="U6" s="21">
        <v>0</v>
      </c>
      <c r="V6" s="21">
        <v>0</v>
      </c>
      <c r="W6" s="21">
        <v>0</v>
      </c>
      <c r="X6" s="21">
        <v>0</v>
      </c>
      <c r="Y6" s="21">
        <v>0</v>
      </c>
      <c r="Z6" s="21">
        <v>0</v>
      </c>
      <c r="AA6" s="21">
        <v>0</v>
      </c>
      <c r="AB6" s="21">
        <v>0</v>
      </c>
      <c r="AC6" s="21">
        <v>0</v>
      </c>
      <c r="AD6" s="21">
        <v>0</v>
      </c>
      <c r="AE6" s="21">
        <v>0</v>
      </c>
      <c r="AF6" s="21">
        <v>0</v>
      </c>
      <c r="AG6" s="21">
        <v>0</v>
      </c>
      <c r="AH6" s="21">
        <v>0</v>
      </c>
      <c r="AI6" s="21">
        <v>0</v>
      </c>
      <c r="AJ6" s="21">
        <v>0</v>
      </c>
      <c r="AK6" s="21">
        <v>0</v>
      </c>
      <c r="AL6" s="21">
        <v>0</v>
      </c>
      <c r="AM6" s="21">
        <v>0</v>
      </c>
      <c r="AN6" s="21">
        <v>0</v>
      </c>
      <c r="AO6" s="21">
        <v>0</v>
      </c>
      <c r="AP6" s="21">
        <v>0</v>
      </c>
      <c r="AQ6" s="21">
        <v>0</v>
      </c>
      <c r="AR6" s="21">
        <v>0</v>
      </c>
      <c r="AS6" s="21">
        <v>0</v>
      </c>
      <c r="AT6" s="21">
        <v>0</v>
      </c>
      <c r="AU6" s="21">
        <v>0</v>
      </c>
      <c r="AV6" s="21">
        <v>0</v>
      </c>
      <c r="AW6" s="21">
        <v>0</v>
      </c>
      <c r="AX6" s="21">
        <v>0</v>
      </c>
      <c r="AY6" s="21">
        <v>0</v>
      </c>
      <c r="AZ6" s="22">
        <v>0</v>
      </c>
      <c r="BA6" s="22" t="e">
        <f>MAX(#REF!-AZ6,0)</f>
        <v>#REF!</v>
      </c>
      <c r="BB6" s="23" t="e">
        <f>IF(SUMPRODUCT($J$85:BA$85,$J6:BA6)&lt;0.5, "Pending", IF(BA6&lt;0.5, "Complete", "In Progress"))</f>
        <v>#REF!</v>
      </c>
      <c r="BC6" s="22">
        <v>0</v>
      </c>
      <c r="BD6" s="22" t="e">
        <f t="shared" si="0"/>
        <v>#REF!</v>
      </c>
      <c r="BE6" s="23" t="e">
        <f>IF(SUMPRODUCT($J$85:BD$85,$J6:BD6)&lt;0.5, "Pending", IF(BD6&lt;0.5, "Complete", "In Progress"))</f>
        <v>#REF!</v>
      </c>
      <c r="BF6" s="22">
        <v>0</v>
      </c>
      <c r="BG6" s="22" t="e">
        <f t="shared" si="1"/>
        <v>#REF!</v>
      </c>
      <c r="BH6" s="23" t="e">
        <f>IF(SUMPRODUCT($J$85:BG$85,$J6:BG6)&lt;0.5, "Pending", IF(BG6&lt;0.5, "Complete", "In Progress"))</f>
        <v>#REF!</v>
      </c>
      <c r="BI6" s="22">
        <v>0</v>
      </c>
      <c r="BJ6" s="22" t="e">
        <f t="shared" si="2"/>
        <v>#REF!</v>
      </c>
      <c r="BK6" s="23" t="e">
        <f>IF(SUMPRODUCT($J$85:BJ$85,$J6:BJ6)&lt;0.5, "Pending", IF(BJ6&lt;0.5, "Complete", "In Progress"))</f>
        <v>#REF!</v>
      </c>
      <c r="BL6" s="22">
        <v>0</v>
      </c>
      <c r="BM6" s="22" t="e">
        <f t="shared" si="3"/>
        <v>#REF!</v>
      </c>
      <c r="BN6" s="23" t="e">
        <f>IF(SUMPRODUCT($J$85:BM$85,$J6:BM6)&lt;0.5, "Pending", IF(BM6&lt;0.5, "Complete", "In Progress"))</f>
        <v>#REF!</v>
      </c>
      <c r="BO6" s="22">
        <v>0</v>
      </c>
      <c r="BP6" s="22" t="e">
        <f t="shared" si="4"/>
        <v>#REF!</v>
      </c>
      <c r="BQ6" s="23" t="e">
        <f>IF(SUMPRODUCT($J$85:BP$85,$J6:BP6)&lt;0.5, "Pending", IF(BP6&lt;0.5, "Complete", "In Progress"))</f>
        <v>#REF!</v>
      </c>
      <c r="BR6" s="22">
        <v>0</v>
      </c>
      <c r="BS6" s="22" t="e">
        <f t="shared" si="5"/>
        <v>#REF!</v>
      </c>
      <c r="BT6" s="23" t="e">
        <f>IF(SUMPRODUCT($J$85:BS$85,$J6:BS6)&lt;0.5, "Pending", IF(BS6&lt;0.5, "Complete", "In Progress"))</f>
        <v>#REF!</v>
      </c>
      <c r="BU6" s="22">
        <v>0</v>
      </c>
      <c r="BV6" s="22" t="e">
        <f t="shared" si="6"/>
        <v>#REF!</v>
      </c>
      <c r="BW6" s="23" t="e">
        <f>IF(SUMPRODUCT($J$85:BV$85,$J6:BV6)&lt;0.5, "Pending", IF(BV6&lt;0.5, "Complete", "In Progress"))</f>
        <v>#REF!</v>
      </c>
      <c r="BX6" s="22">
        <v>0</v>
      </c>
      <c r="BY6" s="22" t="e">
        <f t="shared" si="7"/>
        <v>#REF!</v>
      </c>
      <c r="BZ6" s="23" t="e">
        <f>IF(SUMPRODUCT($J$85:BY$85,$J6:BY6)&lt;0.5, "Pending", IF(BY6&lt;0.5, "Complete", "In Progress"))</f>
        <v>#REF!</v>
      </c>
      <c r="CA6" s="22">
        <v>0</v>
      </c>
      <c r="CB6" s="22" t="e">
        <f t="shared" si="8"/>
        <v>#REF!</v>
      </c>
      <c r="CC6" s="23" t="e">
        <f>IF(SUMPRODUCT($J$85:CB$85,$J6:CB6)&lt;0.5, "Pending", IF(CB6&lt;0.5, "Complete", "In Progress"))</f>
        <v>#REF!</v>
      </c>
      <c r="CD6" s="24"/>
      <c r="CE6" s="25">
        <f>SUMPRODUCT($H$85:AY$85,$H6:AY6)</f>
        <v>43</v>
      </c>
    </row>
    <row r="7" spans="1:83" ht="13.8" customHeight="1" x14ac:dyDescent="0.25">
      <c r="A7" s="16" t="s">
        <v>103</v>
      </c>
      <c r="B7" s="16" t="s">
        <v>109</v>
      </c>
      <c r="C7" s="16" t="s">
        <v>500</v>
      </c>
      <c r="D7" s="17" t="s">
        <v>138</v>
      </c>
      <c r="E7" s="158" t="s">
        <v>304</v>
      </c>
      <c r="F7" s="158" t="s">
        <v>497</v>
      </c>
      <c r="G7" s="19"/>
      <c r="H7" s="20">
        <v>1</v>
      </c>
      <c r="I7" s="21">
        <v>6</v>
      </c>
      <c r="J7" s="21">
        <v>0</v>
      </c>
      <c r="K7" s="21">
        <v>0</v>
      </c>
      <c r="L7" s="21">
        <v>0</v>
      </c>
      <c r="M7" s="21">
        <v>0</v>
      </c>
      <c r="N7" s="21">
        <v>0</v>
      </c>
      <c r="O7" s="21">
        <v>0</v>
      </c>
      <c r="P7" s="21">
        <v>0</v>
      </c>
      <c r="Q7" s="21">
        <v>0</v>
      </c>
      <c r="R7" s="21">
        <v>0</v>
      </c>
      <c r="S7" s="21">
        <v>0</v>
      </c>
      <c r="T7" s="21">
        <v>0</v>
      </c>
      <c r="U7" s="21">
        <v>0</v>
      </c>
      <c r="V7" s="21">
        <v>0</v>
      </c>
      <c r="W7" s="21">
        <v>0</v>
      </c>
      <c r="X7" s="21">
        <v>0</v>
      </c>
      <c r="Y7" s="21">
        <v>0</v>
      </c>
      <c r="Z7" s="21">
        <v>0</v>
      </c>
      <c r="AA7" s="21">
        <v>0</v>
      </c>
      <c r="AB7" s="21">
        <v>0</v>
      </c>
      <c r="AC7" s="21">
        <v>0</v>
      </c>
      <c r="AD7" s="21">
        <v>0</v>
      </c>
      <c r="AE7" s="21">
        <v>0</v>
      </c>
      <c r="AF7" s="21">
        <v>0</v>
      </c>
      <c r="AG7" s="21">
        <v>0</v>
      </c>
      <c r="AH7" s="21">
        <v>0</v>
      </c>
      <c r="AI7" s="21">
        <v>0</v>
      </c>
      <c r="AJ7" s="21">
        <v>0</v>
      </c>
      <c r="AK7" s="21">
        <v>0</v>
      </c>
      <c r="AL7" s="21">
        <v>0</v>
      </c>
      <c r="AM7" s="21">
        <v>0</v>
      </c>
      <c r="AN7" s="21">
        <v>0</v>
      </c>
      <c r="AO7" s="21">
        <v>0</v>
      </c>
      <c r="AP7" s="21">
        <v>0</v>
      </c>
      <c r="AQ7" s="21">
        <v>0</v>
      </c>
      <c r="AR7" s="21">
        <v>0</v>
      </c>
      <c r="AS7" s="21">
        <v>0</v>
      </c>
      <c r="AT7" s="21">
        <v>0</v>
      </c>
      <c r="AU7" s="21">
        <v>0</v>
      </c>
      <c r="AV7" s="21">
        <v>0</v>
      </c>
      <c r="AW7" s="21">
        <v>0</v>
      </c>
      <c r="AX7" s="21">
        <v>0</v>
      </c>
      <c r="AY7" s="21">
        <v>0</v>
      </c>
      <c r="AZ7" s="22">
        <v>0</v>
      </c>
      <c r="BA7" s="22" t="e">
        <f>MAX(#REF!-AZ7,0)</f>
        <v>#REF!</v>
      </c>
      <c r="BB7" s="23" t="e">
        <f>IF(SUMPRODUCT($J$85:BA$85,$J7:BA7)&lt;0.5, "Pending", IF(BA7&lt;0.5, "Complete", "In Progress"))</f>
        <v>#REF!</v>
      </c>
      <c r="BC7" s="22">
        <v>0</v>
      </c>
      <c r="BD7" s="22" t="e">
        <f t="shared" si="0"/>
        <v>#REF!</v>
      </c>
      <c r="BE7" s="23" t="e">
        <f>IF(SUMPRODUCT($J$85:BD$85,$J7:BD7)&lt;0.5, "Pending", IF(BD7&lt;0.5, "Complete", "In Progress"))</f>
        <v>#REF!</v>
      </c>
      <c r="BF7" s="22">
        <v>0</v>
      </c>
      <c r="BG7" s="22" t="e">
        <f t="shared" si="1"/>
        <v>#REF!</v>
      </c>
      <c r="BH7" s="23" t="e">
        <f>IF(SUMPRODUCT($J$85:BG$85,$J7:BG7)&lt;0.5, "Pending", IF(BG7&lt;0.5, "Complete", "In Progress"))</f>
        <v>#REF!</v>
      </c>
      <c r="BI7" s="22">
        <v>0</v>
      </c>
      <c r="BJ7" s="22" t="e">
        <f t="shared" si="2"/>
        <v>#REF!</v>
      </c>
      <c r="BK7" s="23" t="e">
        <f>IF(SUMPRODUCT($J$85:BJ$85,$J7:BJ7)&lt;0.5, "Pending", IF(BJ7&lt;0.5, "Complete", "In Progress"))</f>
        <v>#REF!</v>
      </c>
      <c r="BL7" s="22">
        <v>0</v>
      </c>
      <c r="BM7" s="22" t="e">
        <f t="shared" si="3"/>
        <v>#REF!</v>
      </c>
      <c r="BN7" s="23" t="e">
        <f>IF(SUMPRODUCT($J$85:BM$85,$J7:BM7)&lt;0.5, "Pending", IF(BM7&lt;0.5, "Complete", "In Progress"))</f>
        <v>#REF!</v>
      </c>
      <c r="BO7" s="22">
        <v>0</v>
      </c>
      <c r="BP7" s="22" t="e">
        <f t="shared" si="4"/>
        <v>#REF!</v>
      </c>
      <c r="BQ7" s="23" t="e">
        <f>IF(SUMPRODUCT($J$85:BP$85,$J7:BP7)&lt;0.5, "Pending", IF(BP7&lt;0.5, "Complete", "In Progress"))</f>
        <v>#REF!</v>
      </c>
      <c r="BR7" s="22">
        <v>0</v>
      </c>
      <c r="BS7" s="22" t="e">
        <f t="shared" si="5"/>
        <v>#REF!</v>
      </c>
      <c r="BT7" s="23" t="e">
        <f>IF(SUMPRODUCT($J$85:BS$85,$J7:BS7)&lt;0.5, "Pending", IF(BS7&lt;0.5, "Complete", "In Progress"))</f>
        <v>#REF!</v>
      </c>
      <c r="BU7" s="22">
        <v>0</v>
      </c>
      <c r="BV7" s="22" t="e">
        <f t="shared" si="6"/>
        <v>#REF!</v>
      </c>
      <c r="BW7" s="23" t="e">
        <f>IF(SUMPRODUCT($J$85:BV$85,$J7:BV7)&lt;0.5, "Pending", IF(BV7&lt;0.5, "Complete", "In Progress"))</f>
        <v>#REF!</v>
      </c>
      <c r="BX7" s="22">
        <v>0</v>
      </c>
      <c r="BY7" s="22" t="e">
        <f t="shared" si="7"/>
        <v>#REF!</v>
      </c>
      <c r="BZ7" s="23" t="e">
        <f>IF(SUMPRODUCT($J$85:BY$85,$J7:BY7)&lt;0.5, "Pending", IF(BY7&lt;0.5, "Complete", "In Progress"))</f>
        <v>#REF!</v>
      </c>
      <c r="CA7" s="22">
        <v>0</v>
      </c>
      <c r="CB7" s="22" t="e">
        <f t="shared" si="8"/>
        <v>#REF!</v>
      </c>
      <c r="CC7" s="23" t="e">
        <f>IF(SUMPRODUCT($J$85:CB$85,$J7:CB7)&lt;0.5, "Pending", IF(CB7&lt;0.5, "Complete", "In Progress"))</f>
        <v>#REF!</v>
      </c>
      <c r="CD7" s="24"/>
      <c r="CE7" s="25">
        <f>SUMPRODUCT($H$85:AY$85,$H7:AY7)</f>
        <v>43</v>
      </c>
    </row>
    <row r="8" spans="1:83" ht="13.8" customHeight="1" x14ac:dyDescent="0.25">
      <c r="A8" s="16" t="s">
        <v>103</v>
      </c>
      <c r="B8" s="16" t="s">
        <v>109</v>
      </c>
      <c r="C8" s="16" t="s">
        <v>500</v>
      </c>
      <c r="D8" s="17" t="s">
        <v>139</v>
      </c>
      <c r="E8" s="158" t="s">
        <v>305</v>
      </c>
      <c r="F8" s="158" t="s">
        <v>498</v>
      </c>
      <c r="G8" s="19"/>
      <c r="H8" s="20">
        <v>1</v>
      </c>
      <c r="I8" s="21">
        <v>6</v>
      </c>
      <c r="J8" s="21">
        <v>0</v>
      </c>
      <c r="K8" s="21">
        <v>0</v>
      </c>
      <c r="L8" s="21">
        <v>0</v>
      </c>
      <c r="M8" s="21">
        <v>0</v>
      </c>
      <c r="N8" s="21">
        <v>0</v>
      </c>
      <c r="O8" s="21">
        <v>0</v>
      </c>
      <c r="P8" s="21">
        <v>0</v>
      </c>
      <c r="Q8" s="21">
        <v>0</v>
      </c>
      <c r="R8" s="21">
        <v>0</v>
      </c>
      <c r="S8" s="21">
        <v>0</v>
      </c>
      <c r="T8" s="21">
        <v>0</v>
      </c>
      <c r="U8" s="21">
        <v>0</v>
      </c>
      <c r="V8" s="21">
        <v>0</v>
      </c>
      <c r="W8" s="21">
        <v>0</v>
      </c>
      <c r="X8" s="21">
        <v>0</v>
      </c>
      <c r="Y8" s="21">
        <v>0</v>
      </c>
      <c r="Z8" s="21">
        <v>0</v>
      </c>
      <c r="AA8" s="21">
        <v>0</v>
      </c>
      <c r="AB8" s="21">
        <v>0</v>
      </c>
      <c r="AC8" s="21">
        <v>0</v>
      </c>
      <c r="AD8" s="21">
        <v>0</v>
      </c>
      <c r="AE8" s="21">
        <v>0</v>
      </c>
      <c r="AF8" s="21">
        <v>0</v>
      </c>
      <c r="AG8" s="21">
        <v>0</v>
      </c>
      <c r="AH8" s="21">
        <v>0</v>
      </c>
      <c r="AI8" s="21">
        <v>0</v>
      </c>
      <c r="AJ8" s="21">
        <v>0</v>
      </c>
      <c r="AK8" s="21">
        <v>0</v>
      </c>
      <c r="AL8" s="21">
        <v>0</v>
      </c>
      <c r="AM8" s="21">
        <v>0</v>
      </c>
      <c r="AN8" s="21">
        <v>0</v>
      </c>
      <c r="AO8" s="21">
        <v>0</v>
      </c>
      <c r="AP8" s="21">
        <v>0</v>
      </c>
      <c r="AQ8" s="21">
        <v>0</v>
      </c>
      <c r="AR8" s="21">
        <v>0</v>
      </c>
      <c r="AS8" s="21">
        <v>0</v>
      </c>
      <c r="AT8" s="21">
        <v>0</v>
      </c>
      <c r="AU8" s="21">
        <v>0</v>
      </c>
      <c r="AV8" s="21">
        <v>0</v>
      </c>
      <c r="AW8" s="21">
        <v>0</v>
      </c>
      <c r="AX8" s="21">
        <v>0</v>
      </c>
      <c r="AY8" s="21">
        <v>0</v>
      </c>
      <c r="AZ8" s="22">
        <v>0</v>
      </c>
      <c r="BA8" s="22" t="e">
        <f>MAX(#REF!-AZ8,0)</f>
        <v>#REF!</v>
      </c>
      <c r="BB8" s="23" t="e">
        <f>IF(SUMPRODUCT($J$85:BA$85,$J8:BA8)&lt;0.5, "Pending", IF(BA8&lt;0.5, "Complete", "In Progress"))</f>
        <v>#REF!</v>
      </c>
      <c r="BC8" s="22">
        <v>0</v>
      </c>
      <c r="BD8" s="22" t="e">
        <f t="shared" si="0"/>
        <v>#REF!</v>
      </c>
      <c r="BE8" s="23" t="e">
        <f>IF(SUMPRODUCT($J$85:BD$85,$J8:BD8)&lt;0.5, "Pending", IF(BD8&lt;0.5, "Complete", "In Progress"))</f>
        <v>#REF!</v>
      </c>
      <c r="BF8" s="22">
        <v>0</v>
      </c>
      <c r="BG8" s="22" t="e">
        <f t="shared" si="1"/>
        <v>#REF!</v>
      </c>
      <c r="BH8" s="23" t="e">
        <f>IF(SUMPRODUCT($J$85:BG$85,$J8:BG8)&lt;0.5, "Pending", IF(BG8&lt;0.5, "Complete", "In Progress"))</f>
        <v>#REF!</v>
      </c>
      <c r="BI8" s="22">
        <v>0</v>
      </c>
      <c r="BJ8" s="22" t="e">
        <f t="shared" si="2"/>
        <v>#REF!</v>
      </c>
      <c r="BK8" s="23" t="e">
        <f>IF(SUMPRODUCT($J$85:BJ$85,$J8:BJ8)&lt;0.5, "Pending", IF(BJ8&lt;0.5, "Complete", "In Progress"))</f>
        <v>#REF!</v>
      </c>
      <c r="BL8" s="22">
        <v>0</v>
      </c>
      <c r="BM8" s="22" t="e">
        <f t="shared" si="3"/>
        <v>#REF!</v>
      </c>
      <c r="BN8" s="23" t="e">
        <f>IF(SUMPRODUCT($J$85:BM$85,$J8:BM8)&lt;0.5, "Pending", IF(BM8&lt;0.5, "Complete", "In Progress"))</f>
        <v>#REF!</v>
      </c>
      <c r="BO8" s="22">
        <v>0</v>
      </c>
      <c r="BP8" s="22" t="e">
        <f t="shared" si="4"/>
        <v>#REF!</v>
      </c>
      <c r="BQ8" s="23" t="e">
        <f>IF(SUMPRODUCT($J$85:BP$85,$J8:BP8)&lt;0.5, "Pending", IF(BP8&lt;0.5, "Complete", "In Progress"))</f>
        <v>#REF!</v>
      </c>
      <c r="BR8" s="22">
        <v>0</v>
      </c>
      <c r="BS8" s="22" t="e">
        <f t="shared" si="5"/>
        <v>#REF!</v>
      </c>
      <c r="BT8" s="23" t="e">
        <f>IF(SUMPRODUCT($J$85:BS$85,$J8:BS8)&lt;0.5, "Pending", IF(BS8&lt;0.5, "Complete", "In Progress"))</f>
        <v>#REF!</v>
      </c>
      <c r="BU8" s="22">
        <v>0</v>
      </c>
      <c r="BV8" s="22" t="e">
        <f t="shared" si="6"/>
        <v>#REF!</v>
      </c>
      <c r="BW8" s="23" t="e">
        <f>IF(SUMPRODUCT($J$85:BV$85,$J8:BV8)&lt;0.5, "Pending", IF(BV8&lt;0.5, "Complete", "In Progress"))</f>
        <v>#REF!</v>
      </c>
      <c r="BX8" s="22">
        <v>0</v>
      </c>
      <c r="BY8" s="22" t="e">
        <f t="shared" si="7"/>
        <v>#REF!</v>
      </c>
      <c r="BZ8" s="23" t="e">
        <f>IF(SUMPRODUCT($J$85:BY$85,$J8:BY8)&lt;0.5, "Pending", IF(BY8&lt;0.5, "Complete", "In Progress"))</f>
        <v>#REF!</v>
      </c>
      <c r="CA8" s="22">
        <v>0</v>
      </c>
      <c r="CB8" s="22" t="e">
        <f t="shared" si="8"/>
        <v>#REF!</v>
      </c>
      <c r="CC8" s="23" t="e">
        <f>IF(SUMPRODUCT($J$85:CB$85,$J8:CB8)&lt;0.5, "Pending", IF(CB8&lt;0.5, "Complete", "In Progress"))</f>
        <v>#REF!</v>
      </c>
      <c r="CD8" s="24"/>
      <c r="CE8" s="25">
        <f>SUMPRODUCT($H$85:AY$85,$H8:AY8)</f>
        <v>43</v>
      </c>
    </row>
    <row r="9" spans="1:83" ht="13.8" customHeight="1" x14ac:dyDescent="0.25">
      <c r="A9" s="16" t="s">
        <v>103</v>
      </c>
      <c r="B9" s="16" t="s">
        <v>110</v>
      </c>
      <c r="C9" s="16" t="s">
        <v>500</v>
      </c>
      <c r="D9" s="17" t="s">
        <v>140</v>
      </c>
      <c r="E9" s="158" t="s">
        <v>306</v>
      </c>
      <c r="F9" s="158" t="s">
        <v>496</v>
      </c>
      <c r="G9" s="19"/>
      <c r="H9" s="20">
        <v>1</v>
      </c>
      <c r="I9" s="21">
        <v>6</v>
      </c>
      <c r="J9" s="21">
        <v>0</v>
      </c>
      <c r="K9" s="21">
        <v>0</v>
      </c>
      <c r="L9" s="21">
        <v>0</v>
      </c>
      <c r="M9" s="21">
        <v>0</v>
      </c>
      <c r="N9" s="21">
        <v>0</v>
      </c>
      <c r="O9" s="21">
        <v>0</v>
      </c>
      <c r="P9" s="21">
        <v>0</v>
      </c>
      <c r="Q9" s="21">
        <v>0</v>
      </c>
      <c r="R9" s="21">
        <v>0</v>
      </c>
      <c r="S9" s="21">
        <v>0</v>
      </c>
      <c r="T9" s="21">
        <v>0</v>
      </c>
      <c r="U9" s="21">
        <v>0</v>
      </c>
      <c r="V9" s="21">
        <v>0</v>
      </c>
      <c r="W9" s="21">
        <v>0</v>
      </c>
      <c r="X9" s="21">
        <v>0</v>
      </c>
      <c r="Y9" s="21">
        <v>0</v>
      </c>
      <c r="Z9" s="21">
        <v>0</v>
      </c>
      <c r="AA9" s="21">
        <v>0</v>
      </c>
      <c r="AB9" s="21">
        <v>0</v>
      </c>
      <c r="AC9" s="21">
        <v>0</v>
      </c>
      <c r="AD9" s="21">
        <v>0</v>
      </c>
      <c r="AE9" s="21">
        <v>0</v>
      </c>
      <c r="AF9" s="21">
        <v>0</v>
      </c>
      <c r="AG9" s="21">
        <v>0</v>
      </c>
      <c r="AH9" s="21">
        <v>0</v>
      </c>
      <c r="AI9" s="21">
        <v>0</v>
      </c>
      <c r="AJ9" s="21">
        <v>0</v>
      </c>
      <c r="AK9" s="21">
        <v>0</v>
      </c>
      <c r="AL9" s="21">
        <v>0</v>
      </c>
      <c r="AM9" s="21">
        <v>0</v>
      </c>
      <c r="AN9" s="21">
        <v>0</v>
      </c>
      <c r="AO9" s="21">
        <v>0</v>
      </c>
      <c r="AP9" s="21">
        <v>0</v>
      </c>
      <c r="AQ9" s="21">
        <v>0</v>
      </c>
      <c r="AR9" s="21">
        <v>0</v>
      </c>
      <c r="AS9" s="21">
        <v>0</v>
      </c>
      <c r="AT9" s="21">
        <v>0</v>
      </c>
      <c r="AU9" s="21">
        <v>0</v>
      </c>
      <c r="AV9" s="21">
        <v>0</v>
      </c>
      <c r="AW9" s="21">
        <v>0</v>
      </c>
      <c r="AX9" s="21">
        <v>0</v>
      </c>
      <c r="AY9" s="21">
        <v>0</v>
      </c>
      <c r="AZ9" s="22">
        <v>0</v>
      </c>
      <c r="BA9" s="22" t="e">
        <f>MAX(#REF!-AZ9,0)</f>
        <v>#REF!</v>
      </c>
      <c r="BB9" s="23" t="e">
        <f>IF(SUMPRODUCT($J$85:BA$85,$J9:BA9)&lt;0.5, "Pending", IF(BA9&lt;0.5, "Complete", "In Progress"))</f>
        <v>#REF!</v>
      </c>
      <c r="BC9" s="22">
        <v>0</v>
      </c>
      <c r="BD9" s="22" t="e">
        <f t="shared" si="0"/>
        <v>#REF!</v>
      </c>
      <c r="BE9" s="23" t="e">
        <f>IF(SUMPRODUCT($J$85:BD$85,$J9:BD9)&lt;0.5, "Pending", IF(BD9&lt;0.5, "Complete", "In Progress"))</f>
        <v>#REF!</v>
      </c>
      <c r="BF9" s="22">
        <v>0</v>
      </c>
      <c r="BG9" s="22" t="e">
        <f t="shared" si="1"/>
        <v>#REF!</v>
      </c>
      <c r="BH9" s="23" t="e">
        <f>IF(SUMPRODUCT($J$85:BG$85,$J9:BG9)&lt;0.5, "Pending", IF(BG9&lt;0.5, "Complete", "In Progress"))</f>
        <v>#REF!</v>
      </c>
      <c r="BI9" s="22">
        <v>0</v>
      </c>
      <c r="BJ9" s="22" t="e">
        <f t="shared" si="2"/>
        <v>#REF!</v>
      </c>
      <c r="BK9" s="23" t="e">
        <f>IF(SUMPRODUCT($J$85:BJ$85,$J9:BJ9)&lt;0.5, "Pending", IF(BJ9&lt;0.5, "Complete", "In Progress"))</f>
        <v>#REF!</v>
      </c>
      <c r="BL9" s="22">
        <v>0</v>
      </c>
      <c r="BM9" s="22" t="e">
        <f t="shared" si="3"/>
        <v>#REF!</v>
      </c>
      <c r="BN9" s="23" t="e">
        <f>IF(SUMPRODUCT($J$85:BM$85,$J9:BM9)&lt;0.5, "Pending", IF(BM9&lt;0.5, "Complete", "In Progress"))</f>
        <v>#REF!</v>
      </c>
      <c r="BO9" s="22">
        <v>0</v>
      </c>
      <c r="BP9" s="22" t="e">
        <f t="shared" si="4"/>
        <v>#REF!</v>
      </c>
      <c r="BQ9" s="23" t="e">
        <f>IF(SUMPRODUCT($J$85:BP$85,$J9:BP9)&lt;0.5, "Pending", IF(BP9&lt;0.5, "Complete", "In Progress"))</f>
        <v>#REF!</v>
      </c>
      <c r="BR9" s="22">
        <v>0</v>
      </c>
      <c r="BS9" s="22" t="e">
        <f t="shared" si="5"/>
        <v>#REF!</v>
      </c>
      <c r="BT9" s="23" t="e">
        <f>IF(SUMPRODUCT($J$85:BS$85,$J9:BS9)&lt;0.5, "Pending", IF(BS9&lt;0.5, "Complete", "In Progress"))</f>
        <v>#REF!</v>
      </c>
      <c r="BU9" s="22">
        <v>0</v>
      </c>
      <c r="BV9" s="22" t="e">
        <f t="shared" si="6"/>
        <v>#REF!</v>
      </c>
      <c r="BW9" s="23" t="e">
        <f>IF(SUMPRODUCT($J$85:BV$85,$J9:BV9)&lt;0.5, "Pending", IF(BV9&lt;0.5, "Complete", "In Progress"))</f>
        <v>#REF!</v>
      </c>
      <c r="BX9" s="22">
        <v>0</v>
      </c>
      <c r="BY9" s="22" t="e">
        <f t="shared" si="7"/>
        <v>#REF!</v>
      </c>
      <c r="BZ9" s="23" t="e">
        <f>IF(SUMPRODUCT($J$85:BY$85,$J9:BY9)&lt;0.5, "Pending", IF(BY9&lt;0.5, "Complete", "In Progress"))</f>
        <v>#REF!</v>
      </c>
      <c r="CA9" s="22">
        <v>0</v>
      </c>
      <c r="CB9" s="22" t="e">
        <f t="shared" si="8"/>
        <v>#REF!</v>
      </c>
      <c r="CC9" s="23" t="e">
        <f>IF(SUMPRODUCT($J$85:CB$85,$J9:CB9)&lt;0.5, "Pending", IF(CB9&lt;0.5, "Complete", "In Progress"))</f>
        <v>#REF!</v>
      </c>
      <c r="CD9" s="24"/>
      <c r="CE9" s="25">
        <f>SUMPRODUCT($H$85:AY$85,$H9:AY9)</f>
        <v>43</v>
      </c>
    </row>
    <row r="10" spans="1:83" ht="13.8" customHeight="1" x14ac:dyDescent="0.25">
      <c r="A10" s="16" t="s">
        <v>104</v>
      </c>
      <c r="B10" s="16" t="s">
        <v>117</v>
      </c>
      <c r="C10" s="16" t="s">
        <v>500</v>
      </c>
      <c r="D10" s="17" t="s">
        <v>141</v>
      </c>
      <c r="E10" s="158" t="s">
        <v>307</v>
      </c>
      <c r="F10" s="158" t="s">
        <v>495</v>
      </c>
      <c r="G10" s="169"/>
      <c r="H10" s="20">
        <v>1</v>
      </c>
      <c r="I10" s="21">
        <v>6</v>
      </c>
      <c r="J10" s="21">
        <v>0</v>
      </c>
      <c r="K10" s="21">
        <v>0</v>
      </c>
      <c r="L10" s="21">
        <v>0</v>
      </c>
      <c r="M10" s="21">
        <v>0</v>
      </c>
      <c r="N10" s="21">
        <v>0</v>
      </c>
      <c r="O10" s="21">
        <v>0</v>
      </c>
      <c r="P10" s="21">
        <v>0</v>
      </c>
      <c r="Q10" s="21">
        <v>0</v>
      </c>
      <c r="R10" s="21">
        <v>0</v>
      </c>
      <c r="S10" s="21">
        <v>0</v>
      </c>
      <c r="T10" s="21">
        <v>0</v>
      </c>
      <c r="U10" s="21">
        <v>0</v>
      </c>
      <c r="V10" s="21">
        <v>0</v>
      </c>
      <c r="W10" s="21">
        <v>0</v>
      </c>
      <c r="X10" s="21">
        <v>0</v>
      </c>
      <c r="Y10" s="21">
        <v>0</v>
      </c>
      <c r="Z10" s="21">
        <v>0</v>
      </c>
      <c r="AA10" s="21">
        <v>0</v>
      </c>
      <c r="AB10" s="21">
        <v>0</v>
      </c>
      <c r="AC10" s="21">
        <v>0</v>
      </c>
      <c r="AD10" s="21">
        <v>0</v>
      </c>
      <c r="AE10" s="21">
        <v>0</v>
      </c>
      <c r="AF10" s="21">
        <v>0</v>
      </c>
      <c r="AG10" s="21">
        <v>0</v>
      </c>
      <c r="AH10" s="21">
        <v>0</v>
      </c>
      <c r="AI10" s="21">
        <v>0</v>
      </c>
      <c r="AJ10" s="21">
        <v>0</v>
      </c>
      <c r="AK10" s="21">
        <v>0</v>
      </c>
      <c r="AL10" s="21">
        <v>0</v>
      </c>
      <c r="AM10" s="21">
        <v>0</v>
      </c>
      <c r="AN10" s="21">
        <v>0</v>
      </c>
      <c r="AO10" s="21">
        <v>0</v>
      </c>
      <c r="AP10" s="21">
        <v>0</v>
      </c>
      <c r="AQ10" s="21">
        <v>0</v>
      </c>
      <c r="AR10" s="21">
        <v>0</v>
      </c>
      <c r="AS10" s="21">
        <v>0</v>
      </c>
      <c r="AT10" s="21">
        <v>0</v>
      </c>
      <c r="AU10" s="21">
        <v>0</v>
      </c>
      <c r="AV10" s="21">
        <v>0</v>
      </c>
      <c r="AW10" s="21">
        <v>0</v>
      </c>
      <c r="AX10" s="21">
        <v>0</v>
      </c>
      <c r="AY10" s="21">
        <v>0</v>
      </c>
      <c r="AZ10" s="22">
        <v>0</v>
      </c>
      <c r="BA10" s="22" t="e">
        <f>MAX(#REF!-AZ10,0)</f>
        <v>#REF!</v>
      </c>
      <c r="BB10" s="23" t="e">
        <f>IF(SUMPRODUCT($J$85:BA$85,$J10:BA10)&lt;0.5, "Pending", IF(BA10&lt;0.5, "Complete", "In Progress"))</f>
        <v>#REF!</v>
      </c>
      <c r="BC10" s="22">
        <v>0</v>
      </c>
      <c r="BD10" s="22" t="e">
        <f t="shared" si="0"/>
        <v>#REF!</v>
      </c>
      <c r="BE10" s="23" t="e">
        <f>IF(SUMPRODUCT($J$85:BD$85,$J10:BD10)&lt;0.5, "Pending", IF(BD10&lt;0.5, "Complete", "In Progress"))</f>
        <v>#REF!</v>
      </c>
      <c r="BF10" s="22">
        <v>0</v>
      </c>
      <c r="BG10" s="22" t="e">
        <f t="shared" si="1"/>
        <v>#REF!</v>
      </c>
      <c r="BH10" s="23" t="e">
        <f>IF(SUMPRODUCT($J$85:BG$85,$J10:BG10)&lt;0.5, "Pending", IF(BG10&lt;0.5, "Complete", "In Progress"))</f>
        <v>#REF!</v>
      </c>
      <c r="BI10" s="22">
        <v>0</v>
      </c>
      <c r="BJ10" s="22" t="e">
        <f t="shared" si="2"/>
        <v>#REF!</v>
      </c>
      <c r="BK10" s="23" t="e">
        <f>IF(SUMPRODUCT($J$85:BJ$85,$J10:BJ10)&lt;0.5, "Pending", IF(BJ10&lt;0.5, "Complete", "In Progress"))</f>
        <v>#REF!</v>
      </c>
      <c r="BL10" s="22">
        <v>0</v>
      </c>
      <c r="BM10" s="22" t="e">
        <f t="shared" si="3"/>
        <v>#REF!</v>
      </c>
      <c r="BN10" s="23" t="e">
        <f>IF(SUMPRODUCT($J$85:BM$85,$J10:BM10)&lt;0.5, "Pending", IF(BM10&lt;0.5, "Complete", "In Progress"))</f>
        <v>#REF!</v>
      </c>
      <c r="BO10" s="22">
        <v>0</v>
      </c>
      <c r="BP10" s="22" t="e">
        <f t="shared" si="4"/>
        <v>#REF!</v>
      </c>
      <c r="BQ10" s="23" t="e">
        <f>IF(SUMPRODUCT($J$85:BP$85,$J10:BP10)&lt;0.5, "Pending", IF(BP10&lt;0.5, "Complete", "In Progress"))</f>
        <v>#REF!</v>
      </c>
      <c r="BR10" s="22">
        <v>0</v>
      </c>
      <c r="BS10" s="22" t="e">
        <f t="shared" si="5"/>
        <v>#REF!</v>
      </c>
      <c r="BT10" s="23" t="e">
        <f>IF(SUMPRODUCT($J$85:BS$85,$J10:BS10)&lt;0.5, "Pending", IF(BS10&lt;0.5, "Complete", "In Progress"))</f>
        <v>#REF!</v>
      </c>
      <c r="BU10" s="22">
        <v>0</v>
      </c>
      <c r="BV10" s="22" t="e">
        <f t="shared" si="6"/>
        <v>#REF!</v>
      </c>
      <c r="BW10" s="23" t="e">
        <f>IF(SUMPRODUCT($J$85:BV$85,$J10:BV10)&lt;0.5, "Pending", IF(BV10&lt;0.5, "Complete", "In Progress"))</f>
        <v>#REF!</v>
      </c>
      <c r="BX10" s="22">
        <v>0</v>
      </c>
      <c r="BY10" s="22" t="e">
        <f t="shared" si="7"/>
        <v>#REF!</v>
      </c>
      <c r="BZ10" s="23" t="e">
        <f>IF(SUMPRODUCT($J$85:BY$85,$J10:BY10)&lt;0.5, "Pending", IF(BY10&lt;0.5, "Complete", "In Progress"))</f>
        <v>#REF!</v>
      </c>
      <c r="CA10" s="22">
        <v>0</v>
      </c>
      <c r="CB10" s="22" t="e">
        <f t="shared" si="8"/>
        <v>#REF!</v>
      </c>
      <c r="CC10" s="23" t="e">
        <f>IF(SUMPRODUCT($J$85:CB$85,$J10:CB10)&lt;0.5, "Pending", IF(CB10&lt;0.5, "Complete", "In Progress"))</f>
        <v>#REF!</v>
      </c>
      <c r="CD10" s="24"/>
      <c r="CE10" s="25">
        <f>SUMPRODUCT($H$85:AY$85,$H10:AY10)</f>
        <v>43</v>
      </c>
    </row>
    <row r="11" spans="1:83" ht="13.8" customHeight="1" x14ac:dyDescent="0.25">
      <c r="A11" s="16" t="s">
        <v>103</v>
      </c>
      <c r="B11" s="16" t="s">
        <v>117</v>
      </c>
      <c r="C11" s="16" t="s">
        <v>500</v>
      </c>
      <c r="D11" s="17" t="s">
        <v>142</v>
      </c>
      <c r="E11" s="158" t="s">
        <v>308</v>
      </c>
      <c r="F11" s="158" t="s">
        <v>493</v>
      </c>
      <c r="G11" s="168"/>
      <c r="H11" s="20">
        <v>1</v>
      </c>
      <c r="I11" s="21">
        <v>56</v>
      </c>
      <c r="J11" s="21">
        <v>0</v>
      </c>
      <c r="K11" s="21">
        <v>0</v>
      </c>
      <c r="L11" s="21">
        <v>0</v>
      </c>
      <c r="M11" s="21">
        <v>0</v>
      </c>
      <c r="N11" s="21">
        <v>0</v>
      </c>
      <c r="O11" s="21">
        <v>0</v>
      </c>
      <c r="P11" s="21">
        <v>0</v>
      </c>
      <c r="Q11" s="21">
        <v>0</v>
      </c>
      <c r="R11" s="21">
        <v>0</v>
      </c>
      <c r="S11" s="21">
        <v>0</v>
      </c>
      <c r="T11" s="21">
        <v>0</v>
      </c>
      <c r="U11" s="21">
        <v>0</v>
      </c>
      <c r="V11" s="21">
        <v>0</v>
      </c>
      <c r="W11" s="21">
        <v>0</v>
      </c>
      <c r="X11" s="21">
        <v>0</v>
      </c>
      <c r="Y11" s="21">
        <v>0</v>
      </c>
      <c r="Z11" s="21">
        <v>0</v>
      </c>
      <c r="AA11" s="21">
        <v>0</v>
      </c>
      <c r="AB11" s="21">
        <v>0</v>
      </c>
      <c r="AC11" s="21">
        <v>0</v>
      </c>
      <c r="AD11" s="21">
        <v>0</v>
      </c>
      <c r="AE11" s="21">
        <v>0</v>
      </c>
      <c r="AF11" s="21">
        <v>0</v>
      </c>
      <c r="AG11" s="21">
        <v>0</v>
      </c>
      <c r="AH11" s="21">
        <v>0</v>
      </c>
      <c r="AI11" s="21">
        <v>0</v>
      </c>
      <c r="AJ11" s="21">
        <v>0</v>
      </c>
      <c r="AK11" s="21">
        <v>0</v>
      </c>
      <c r="AL11" s="21">
        <v>0</v>
      </c>
      <c r="AM11" s="21">
        <v>0</v>
      </c>
      <c r="AN11" s="21">
        <v>0</v>
      </c>
      <c r="AO11" s="21">
        <v>0</v>
      </c>
      <c r="AP11" s="21">
        <v>0</v>
      </c>
      <c r="AQ11" s="21">
        <v>0</v>
      </c>
      <c r="AR11" s="21">
        <v>0</v>
      </c>
      <c r="AS11" s="21">
        <v>0</v>
      </c>
      <c r="AT11" s="21">
        <v>0</v>
      </c>
      <c r="AU11" s="21">
        <v>0</v>
      </c>
      <c r="AV11" s="21">
        <v>0</v>
      </c>
      <c r="AW11" s="21">
        <v>0</v>
      </c>
      <c r="AX11" s="21">
        <v>0</v>
      </c>
      <c r="AY11" s="21">
        <v>0</v>
      </c>
      <c r="AZ11" s="22">
        <v>0</v>
      </c>
      <c r="BA11" s="22" t="e">
        <f>MAX(#REF!-AZ11,0)</f>
        <v>#REF!</v>
      </c>
      <c r="BB11" s="23" t="e">
        <f>IF(SUMPRODUCT($J$85:BA$85,$J11:BA11)&lt;0.5, "Pending", IF(BA11&lt;0.5, "Complete", "In Progress"))</f>
        <v>#REF!</v>
      </c>
      <c r="BC11" s="22">
        <v>0</v>
      </c>
      <c r="BD11" s="22" t="e">
        <f t="shared" si="0"/>
        <v>#REF!</v>
      </c>
      <c r="BE11" s="23" t="e">
        <f>IF(SUMPRODUCT($J$85:BD$85,$J11:BD11)&lt;0.5, "Pending", IF(BD11&lt;0.5, "Complete", "In Progress"))</f>
        <v>#REF!</v>
      </c>
      <c r="BF11" s="22">
        <v>0</v>
      </c>
      <c r="BG11" s="22" t="e">
        <f t="shared" si="1"/>
        <v>#REF!</v>
      </c>
      <c r="BH11" s="23" t="e">
        <f>IF(SUMPRODUCT($J$85:BG$85,$J11:BG11)&lt;0.5, "Pending", IF(BG11&lt;0.5, "Complete", "In Progress"))</f>
        <v>#REF!</v>
      </c>
      <c r="BI11" s="22">
        <v>0</v>
      </c>
      <c r="BJ11" s="22" t="e">
        <f t="shared" si="2"/>
        <v>#REF!</v>
      </c>
      <c r="BK11" s="23" t="e">
        <f>IF(SUMPRODUCT($J$85:BJ$85,$J11:BJ11)&lt;0.5, "Pending", IF(BJ11&lt;0.5, "Complete", "In Progress"))</f>
        <v>#REF!</v>
      </c>
      <c r="BL11" s="22">
        <v>0</v>
      </c>
      <c r="BM11" s="22" t="e">
        <f t="shared" si="3"/>
        <v>#REF!</v>
      </c>
      <c r="BN11" s="23" t="e">
        <f>IF(SUMPRODUCT($J$85:BM$85,$J11:BM11)&lt;0.5, "Pending", IF(BM11&lt;0.5, "Complete", "In Progress"))</f>
        <v>#REF!</v>
      </c>
      <c r="BO11" s="22">
        <v>0</v>
      </c>
      <c r="BP11" s="22" t="e">
        <f t="shared" si="4"/>
        <v>#REF!</v>
      </c>
      <c r="BQ11" s="23" t="e">
        <f>IF(SUMPRODUCT($J$85:BP$85,$J11:BP11)&lt;0.5, "Pending", IF(BP11&lt;0.5, "Complete", "In Progress"))</f>
        <v>#REF!</v>
      </c>
      <c r="BR11" s="22">
        <v>0</v>
      </c>
      <c r="BS11" s="22" t="e">
        <f t="shared" si="5"/>
        <v>#REF!</v>
      </c>
      <c r="BT11" s="23" t="e">
        <f>IF(SUMPRODUCT($J$85:BS$85,$J11:BS11)&lt;0.5, "Pending", IF(BS11&lt;0.5, "Complete", "In Progress"))</f>
        <v>#REF!</v>
      </c>
      <c r="BU11" s="22">
        <v>0</v>
      </c>
      <c r="BV11" s="22" t="e">
        <f t="shared" si="6"/>
        <v>#REF!</v>
      </c>
      <c r="BW11" s="23" t="e">
        <f>IF(SUMPRODUCT($J$85:BV$85,$J11:BV11)&lt;0.5, "Pending", IF(BV11&lt;0.5, "Complete", "In Progress"))</f>
        <v>#REF!</v>
      </c>
      <c r="BX11" s="22">
        <v>0</v>
      </c>
      <c r="BY11" s="22" t="e">
        <f t="shared" si="7"/>
        <v>#REF!</v>
      </c>
      <c r="BZ11" s="23" t="e">
        <f>IF(SUMPRODUCT($J$85:BY$85,$J11:BY11)&lt;0.5, "Pending", IF(BY11&lt;0.5, "Complete", "In Progress"))</f>
        <v>#REF!</v>
      </c>
      <c r="CA11" s="22">
        <v>0</v>
      </c>
      <c r="CB11" s="22" t="e">
        <f t="shared" si="8"/>
        <v>#REF!</v>
      </c>
      <c r="CC11" s="23" t="e">
        <f>IF(SUMPRODUCT($J$85:CB$85,$J11:CB11)&lt;0.5, "Pending", IF(CB11&lt;0.5, "Complete", "In Progress"))</f>
        <v>#REF!</v>
      </c>
      <c r="CD11" s="24"/>
      <c r="CE11" s="25">
        <f>SUMPRODUCT($H$85:AY$85,$H11:AY11)</f>
        <v>393</v>
      </c>
    </row>
    <row r="12" spans="1:83" ht="13.8" customHeight="1" x14ac:dyDescent="0.25">
      <c r="A12" s="16" t="s">
        <v>104</v>
      </c>
      <c r="B12" s="16" t="s">
        <v>116</v>
      </c>
      <c r="C12" s="16" t="s">
        <v>500</v>
      </c>
      <c r="D12" s="17" t="s">
        <v>143</v>
      </c>
      <c r="E12" s="158" t="s">
        <v>309</v>
      </c>
      <c r="F12" s="158" t="s">
        <v>494</v>
      </c>
      <c r="G12" s="19"/>
      <c r="H12" s="20">
        <v>1</v>
      </c>
      <c r="I12" s="21">
        <v>6</v>
      </c>
      <c r="J12" s="21">
        <v>0</v>
      </c>
      <c r="K12" s="21">
        <v>0</v>
      </c>
      <c r="L12" s="21">
        <v>0</v>
      </c>
      <c r="M12" s="21">
        <v>0</v>
      </c>
      <c r="N12" s="21">
        <v>0</v>
      </c>
      <c r="O12" s="21">
        <v>0</v>
      </c>
      <c r="P12" s="21">
        <v>0</v>
      </c>
      <c r="Q12" s="21">
        <v>0</v>
      </c>
      <c r="R12" s="21">
        <v>0</v>
      </c>
      <c r="S12" s="21">
        <v>0</v>
      </c>
      <c r="T12" s="21">
        <v>0</v>
      </c>
      <c r="U12" s="21">
        <v>0</v>
      </c>
      <c r="V12" s="21">
        <v>0</v>
      </c>
      <c r="W12" s="21">
        <v>0</v>
      </c>
      <c r="X12" s="21">
        <v>0</v>
      </c>
      <c r="Y12" s="21">
        <v>0</v>
      </c>
      <c r="Z12" s="21">
        <v>0</v>
      </c>
      <c r="AA12" s="21">
        <v>0</v>
      </c>
      <c r="AB12" s="21">
        <v>0</v>
      </c>
      <c r="AC12" s="21">
        <v>0</v>
      </c>
      <c r="AD12" s="21">
        <v>0</v>
      </c>
      <c r="AE12" s="21">
        <v>0</v>
      </c>
      <c r="AF12" s="21">
        <v>0</v>
      </c>
      <c r="AG12" s="21">
        <v>0</v>
      </c>
      <c r="AH12" s="21">
        <v>0</v>
      </c>
      <c r="AI12" s="21">
        <v>0</v>
      </c>
      <c r="AJ12" s="21">
        <v>0</v>
      </c>
      <c r="AK12" s="21">
        <v>0</v>
      </c>
      <c r="AL12" s="21">
        <v>0</v>
      </c>
      <c r="AM12" s="21">
        <v>0</v>
      </c>
      <c r="AN12" s="21">
        <v>0</v>
      </c>
      <c r="AO12" s="21">
        <v>0</v>
      </c>
      <c r="AP12" s="21">
        <v>0</v>
      </c>
      <c r="AQ12" s="21">
        <v>0</v>
      </c>
      <c r="AR12" s="21">
        <v>0</v>
      </c>
      <c r="AS12" s="21">
        <v>0</v>
      </c>
      <c r="AT12" s="21">
        <v>0</v>
      </c>
      <c r="AU12" s="21">
        <v>0</v>
      </c>
      <c r="AV12" s="21">
        <v>0</v>
      </c>
      <c r="AW12" s="21">
        <v>0</v>
      </c>
      <c r="AX12" s="21">
        <v>0</v>
      </c>
      <c r="AY12" s="21">
        <v>0</v>
      </c>
      <c r="AZ12" s="22">
        <v>0</v>
      </c>
      <c r="BA12" s="22" t="e">
        <f>MAX(#REF!-AZ12,0)</f>
        <v>#REF!</v>
      </c>
      <c r="BB12" s="23" t="e">
        <f>IF(SUMPRODUCT($J$85:BA$85,$J12:BA12)&lt;0.5, "Pending", IF(BA12&lt;0.5, "Complete", "In Progress"))</f>
        <v>#REF!</v>
      </c>
      <c r="BC12" s="22">
        <v>0</v>
      </c>
      <c r="BD12" s="22" t="e">
        <f t="shared" si="0"/>
        <v>#REF!</v>
      </c>
      <c r="BE12" s="23" t="e">
        <f>IF(SUMPRODUCT($J$85:BD$85,$J12:BD12)&lt;0.5, "Pending", IF(BD12&lt;0.5, "Complete", "In Progress"))</f>
        <v>#REF!</v>
      </c>
      <c r="BF12" s="22">
        <v>0</v>
      </c>
      <c r="BG12" s="22" t="e">
        <f t="shared" si="1"/>
        <v>#REF!</v>
      </c>
      <c r="BH12" s="23" t="e">
        <f>IF(SUMPRODUCT($J$85:BG$85,$J12:BG12)&lt;0.5, "Pending", IF(BG12&lt;0.5, "Complete", "In Progress"))</f>
        <v>#REF!</v>
      </c>
      <c r="BI12" s="22">
        <v>0</v>
      </c>
      <c r="BJ12" s="22" t="e">
        <f t="shared" si="2"/>
        <v>#REF!</v>
      </c>
      <c r="BK12" s="23" t="e">
        <f>IF(SUMPRODUCT($J$85:BJ$85,$J12:BJ12)&lt;0.5, "Pending", IF(BJ12&lt;0.5, "Complete", "In Progress"))</f>
        <v>#REF!</v>
      </c>
      <c r="BL12" s="22">
        <v>0</v>
      </c>
      <c r="BM12" s="22" t="e">
        <f t="shared" si="3"/>
        <v>#REF!</v>
      </c>
      <c r="BN12" s="23" t="e">
        <f>IF(SUMPRODUCT($J$85:BM$85,$J12:BM12)&lt;0.5, "Pending", IF(BM12&lt;0.5, "Complete", "In Progress"))</f>
        <v>#REF!</v>
      </c>
      <c r="BO12" s="22">
        <v>0</v>
      </c>
      <c r="BP12" s="22" t="e">
        <f t="shared" si="4"/>
        <v>#REF!</v>
      </c>
      <c r="BQ12" s="23" t="e">
        <f>IF(SUMPRODUCT($J$85:BP$85,$J12:BP12)&lt;0.5, "Pending", IF(BP12&lt;0.5, "Complete", "In Progress"))</f>
        <v>#REF!</v>
      </c>
      <c r="BR12" s="22">
        <v>0</v>
      </c>
      <c r="BS12" s="22" t="e">
        <f t="shared" si="5"/>
        <v>#REF!</v>
      </c>
      <c r="BT12" s="23" t="e">
        <f>IF(SUMPRODUCT($J$85:BS$85,$J12:BS12)&lt;0.5, "Pending", IF(BS12&lt;0.5, "Complete", "In Progress"))</f>
        <v>#REF!</v>
      </c>
      <c r="BU12" s="22">
        <v>0</v>
      </c>
      <c r="BV12" s="22" t="e">
        <f t="shared" si="6"/>
        <v>#REF!</v>
      </c>
      <c r="BW12" s="23" t="e">
        <f>IF(SUMPRODUCT($J$85:BV$85,$J12:BV12)&lt;0.5, "Pending", IF(BV12&lt;0.5, "Complete", "In Progress"))</f>
        <v>#REF!</v>
      </c>
      <c r="BX12" s="22">
        <v>0</v>
      </c>
      <c r="BY12" s="22" t="e">
        <f t="shared" si="7"/>
        <v>#REF!</v>
      </c>
      <c r="BZ12" s="23" t="e">
        <f>IF(SUMPRODUCT($J$85:BY$85,$J12:BY12)&lt;0.5, "Pending", IF(BY12&lt;0.5, "Complete", "In Progress"))</f>
        <v>#REF!</v>
      </c>
      <c r="CA12" s="22">
        <v>0</v>
      </c>
      <c r="CB12" s="22" t="e">
        <f t="shared" si="8"/>
        <v>#REF!</v>
      </c>
      <c r="CC12" s="23" t="e">
        <f>IF(SUMPRODUCT($J$85:CB$85,$J12:CB12)&lt;0.5, "Pending", IF(CB12&lt;0.5, "Complete", "In Progress"))</f>
        <v>#REF!</v>
      </c>
      <c r="CD12" s="24"/>
      <c r="CE12" s="25">
        <f>SUMPRODUCT($H$85:AY$85,$H12:AY12)</f>
        <v>43</v>
      </c>
    </row>
    <row r="13" spans="1:83" ht="13.8" customHeight="1" x14ac:dyDescent="0.25">
      <c r="A13" s="16" t="s">
        <v>103</v>
      </c>
      <c r="B13" s="16" t="s">
        <v>110</v>
      </c>
      <c r="C13" s="16" t="s">
        <v>500</v>
      </c>
      <c r="D13" s="17" t="s">
        <v>144</v>
      </c>
      <c r="E13" s="158" t="s">
        <v>310</v>
      </c>
      <c r="F13" s="158" t="s">
        <v>497</v>
      </c>
      <c r="G13" s="19"/>
      <c r="H13" s="20">
        <v>1</v>
      </c>
      <c r="I13" s="21">
        <v>6</v>
      </c>
      <c r="J13" s="21">
        <v>0</v>
      </c>
      <c r="K13" s="21">
        <v>0</v>
      </c>
      <c r="L13" s="21">
        <v>0</v>
      </c>
      <c r="M13" s="21">
        <v>0</v>
      </c>
      <c r="N13" s="21">
        <v>0</v>
      </c>
      <c r="O13" s="21">
        <v>0</v>
      </c>
      <c r="P13" s="21">
        <v>0</v>
      </c>
      <c r="Q13" s="21">
        <v>0</v>
      </c>
      <c r="R13" s="21">
        <v>0</v>
      </c>
      <c r="S13" s="21">
        <v>0</v>
      </c>
      <c r="T13" s="21">
        <v>0</v>
      </c>
      <c r="U13" s="21">
        <v>0</v>
      </c>
      <c r="V13" s="21">
        <v>0</v>
      </c>
      <c r="W13" s="21">
        <v>0</v>
      </c>
      <c r="X13" s="21">
        <v>0</v>
      </c>
      <c r="Y13" s="21">
        <v>0</v>
      </c>
      <c r="Z13" s="21">
        <v>0</v>
      </c>
      <c r="AA13" s="21">
        <v>0</v>
      </c>
      <c r="AB13" s="21">
        <v>0</v>
      </c>
      <c r="AC13" s="21">
        <v>0</v>
      </c>
      <c r="AD13" s="21">
        <v>0</v>
      </c>
      <c r="AE13" s="21">
        <v>0</v>
      </c>
      <c r="AF13" s="21">
        <v>0</v>
      </c>
      <c r="AG13" s="21">
        <v>0</v>
      </c>
      <c r="AH13" s="21">
        <v>0</v>
      </c>
      <c r="AI13" s="21">
        <v>0</v>
      </c>
      <c r="AJ13" s="21">
        <v>0</v>
      </c>
      <c r="AK13" s="21">
        <v>0</v>
      </c>
      <c r="AL13" s="21">
        <v>0</v>
      </c>
      <c r="AM13" s="21">
        <v>0</v>
      </c>
      <c r="AN13" s="21">
        <v>0</v>
      </c>
      <c r="AO13" s="21">
        <v>0</v>
      </c>
      <c r="AP13" s="21">
        <v>0</v>
      </c>
      <c r="AQ13" s="21">
        <v>0</v>
      </c>
      <c r="AR13" s="21">
        <v>0</v>
      </c>
      <c r="AS13" s="21">
        <v>0</v>
      </c>
      <c r="AT13" s="21">
        <v>0</v>
      </c>
      <c r="AU13" s="21">
        <v>0</v>
      </c>
      <c r="AV13" s="21">
        <v>0</v>
      </c>
      <c r="AW13" s="21">
        <v>0</v>
      </c>
      <c r="AX13" s="21">
        <v>0</v>
      </c>
      <c r="AY13" s="21">
        <v>0</v>
      </c>
      <c r="AZ13" s="22">
        <v>0</v>
      </c>
      <c r="BA13" s="22" t="e">
        <f>MAX(#REF!-AZ13,0)</f>
        <v>#REF!</v>
      </c>
      <c r="BB13" s="23" t="e">
        <f>IF(SUMPRODUCT($J$85:BA$85,$J13:BA13)&lt;0.5, "Pending", IF(BA13&lt;0.5, "Complete", "In Progress"))</f>
        <v>#REF!</v>
      </c>
      <c r="BC13" s="22">
        <v>0</v>
      </c>
      <c r="BD13" s="22" t="e">
        <f t="shared" si="0"/>
        <v>#REF!</v>
      </c>
      <c r="BE13" s="23" t="e">
        <f>IF(SUMPRODUCT($J$85:BD$85,$J13:BD13)&lt;0.5, "Pending", IF(BD13&lt;0.5, "Complete", "In Progress"))</f>
        <v>#REF!</v>
      </c>
      <c r="BF13" s="22">
        <v>0</v>
      </c>
      <c r="BG13" s="22" t="e">
        <f t="shared" si="1"/>
        <v>#REF!</v>
      </c>
      <c r="BH13" s="23" t="e">
        <f>IF(SUMPRODUCT($J$85:BG$85,$J13:BG13)&lt;0.5, "Pending", IF(BG13&lt;0.5, "Complete", "In Progress"))</f>
        <v>#REF!</v>
      </c>
      <c r="BI13" s="22">
        <v>0</v>
      </c>
      <c r="BJ13" s="22" t="e">
        <f t="shared" si="2"/>
        <v>#REF!</v>
      </c>
      <c r="BK13" s="23" t="e">
        <f>IF(SUMPRODUCT($J$85:BJ$85,$J13:BJ13)&lt;0.5, "Pending", IF(BJ13&lt;0.5, "Complete", "In Progress"))</f>
        <v>#REF!</v>
      </c>
      <c r="BL13" s="22">
        <v>0</v>
      </c>
      <c r="BM13" s="22" t="e">
        <f t="shared" si="3"/>
        <v>#REF!</v>
      </c>
      <c r="BN13" s="23" t="e">
        <f>IF(SUMPRODUCT($J$85:BM$85,$J13:BM13)&lt;0.5, "Pending", IF(BM13&lt;0.5, "Complete", "In Progress"))</f>
        <v>#REF!</v>
      </c>
      <c r="BO13" s="22">
        <v>0</v>
      </c>
      <c r="BP13" s="22" t="e">
        <f t="shared" si="4"/>
        <v>#REF!</v>
      </c>
      <c r="BQ13" s="23" t="e">
        <f>IF(SUMPRODUCT($J$85:BP$85,$J13:BP13)&lt;0.5, "Pending", IF(BP13&lt;0.5, "Complete", "In Progress"))</f>
        <v>#REF!</v>
      </c>
      <c r="BR13" s="22">
        <v>0</v>
      </c>
      <c r="BS13" s="22" t="e">
        <f t="shared" si="5"/>
        <v>#REF!</v>
      </c>
      <c r="BT13" s="23" t="e">
        <f>IF(SUMPRODUCT($J$85:BS$85,$J13:BS13)&lt;0.5, "Pending", IF(BS13&lt;0.5, "Complete", "In Progress"))</f>
        <v>#REF!</v>
      </c>
      <c r="BU13" s="22">
        <v>0</v>
      </c>
      <c r="BV13" s="22" t="e">
        <f t="shared" si="6"/>
        <v>#REF!</v>
      </c>
      <c r="BW13" s="23" t="e">
        <f>IF(SUMPRODUCT($J$85:BV$85,$J13:BV13)&lt;0.5, "Pending", IF(BV13&lt;0.5, "Complete", "In Progress"))</f>
        <v>#REF!</v>
      </c>
      <c r="BX13" s="22">
        <v>0</v>
      </c>
      <c r="BY13" s="22" t="e">
        <f t="shared" si="7"/>
        <v>#REF!</v>
      </c>
      <c r="BZ13" s="23" t="e">
        <f>IF(SUMPRODUCT($J$85:BY$85,$J13:BY13)&lt;0.5, "Pending", IF(BY13&lt;0.5, "Complete", "In Progress"))</f>
        <v>#REF!</v>
      </c>
      <c r="CA13" s="22">
        <v>0</v>
      </c>
      <c r="CB13" s="22" t="e">
        <f t="shared" si="8"/>
        <v>#REF!</v>
      </c>
      <c r="CC13" s="23" t="e">
        <f>IF(SUMPRODUCT($J$85:CB$85,$J13:CB13)&lt;0.5, "Pending", IF(CB13&lt;0.5, "Complete", "In Progress"))</f>
        <v>#REF!</v>
      </c>
      <c r="CD13" s="24"/>
      <c r="CE13" s="25">
        <f>SUMPRODUCT($H$85:AY$85,$H13:AY13)</f>
        <v>43</v>
      </c>
    </row>
    <row r="14" spans="1:83" ht="13.8" customHeight="1" x14ac:dyDescent="0.25">
      <c r="A14" s="16" t="s">
        <v>103</v>
      </c>
      <c r="B14" s="16" t="s">
        <v>115</v>
      </c>
      <c r="C14" s="16" t="s">
        <v>144</v>
      </c>
      <c r="D14" s="17" t="s">
        <v>145</v>
      </c>
      <c r="E14" s="158" t="s">
        <v>311</v>
      </c>
      <c r="F14" s="158" t="s">
        <v>498</v>
      </c>
      <c r="G14" s="19"/>
      <c r="H14" s="20">
        <v>1</v>
      </c>
      <c r="I14" s="21">
        <v>6</v>
      </c>
      <c r="J14" s="21">
        <v>0</v>
      </c>
      <c r="K14" s="21">
        <v>0</v>
      </c>
      <c r="L14" s="21">
        <v>0</v>
      </c>
      <c r="M14" s="21">
        <v>0</v>
      </c>
      <c r="N14" s="21">
        <v>0</v>
      </c>
      <c r="O14" s="21">
        <v>0</v>
      </c>
      <c r="P14" s="21">
        <v>0</v>
      </c>
      <c r="Q14" s="21">
        <v>0</v>
      </c>
      <c r="R14" s="21">
        <v>0</v>
      </c>
      <c r="S14" s="21">
        <v>0</v>
      </c>
      <c r="T14" s="21">
        <v>0</v>
      </c>
      <c r="U14" s="21">
        <v>0</v>
      </c>
      <c r="V14" s="21">
        <v>0</v>
      </c>
      <c r="W14" s="21">
        <v>0</v>
      </c>
      <c r="X14" s="21">
        <v>0</v>
      </c>
      <c r="Y14" s="21">
        <v>0</v>
      </c>
      <c r="Z14" s="21">
        <v>0</v>
      </c>
      <c r="AA14" s="21">
        <v>0</v>
      </c>
      <c r="AB14" s="21">
        <v>0</v>
      </c>
      <c r="AC14" s="21">
        <v>0</v>
      </c>
      <c r="AD14" s="21">
        <v>0</v>
      </c>
      <c r="AE14" s="21">
        <v>0</v>
      </c>
      <c r="AF14" s="21">
        <v>0</v>
      </c>
      <c r="AG14" s="21">
        <v>0</v>
      </c>
      <c r="AH14" s="21">
        <v>0</v>
      </c>
      <c r="AI14" s="21">
        <v>0</v>
      </c>
      <c r="AJ14" s="21">
        <v>0</v>
      </c>
      <c r="AK14" s="21">
        <v>0</v>
      </c>
      <c r="AL14" s="21">
        <v>0</v>
      </c>
      <c r="AM14" s="21">
        <v>0</v>
      </c>
      <c r="AN14" s="21">
        <v>0</v>
      </c>
      <c r="AO14" s="21">
        <v>0</v>
      </c>
      <c r="AP14" s="21">
        <v>0</v>
      </c>
      <c r="AQ14" s="21">
        <v>0</v>
      </c>
      <c r="AR14" s="21">
        <v>0</v>
      </c>
      <c r="AS14" s="21">
        <v>0</v>
      </c>
      <c r="AT14" s="21">
        <v>0</v>
      </c>
      <c r="AU14" s="21">
        <v>0</v>
      </c>
      <c r="AV14" s="21">
        <v>0</v>
      </c>
      <c r="AW14" s="21">
        <v>0</v>
      </c>
      <c r="AX14" s="21">
        <v>0</v>
      </c>
      <c r="AY14" s="21">
        <v>0</v>
      </c>
      <c r="AZ14" s="22">
        <v>0</v>
      </c>
      <c r="BA14" s="22" t="e">
        <f>MAX(#REF!-AZ14,0)</f>
        <v>#REF!</v>
      </c>
      <c r="BB14" s="23" t="e">
        <f>IF(SUMPRODUCT($J$85:BA$85,$J14:BA14)&lt;0.5, "Pending", IF(BA14&lt;0.5, "Complete", "In Progress"))</f>
        <v>#REF!</v>
      </c>
      <c r="BC14" s="22">
        <v>0</v>
      </c>
      <c r="BD14" s="22" t="e">
        <f t="shared" si="0"/>
        <v>#REF!</v>
      </c>
      <c r="BE14" s="23" t="e">
        <f>IF(SUMPRODUCT($J$85:BD$85,$J14:BD14)&lt;0.5, "Pending", IF(BD14&lt;0.5, "Complete", "In Progress"))</f>
        <v>#REF!</v>
      </c>
      <c r="BF14" s="22">
        <v>0</v>
      </c>
      <c r="BG14" s="22" t="e">
        <f t="shared" si="1"/>
        <v>#REF!</v>
      </c>
      <c r="BH14" s="23" t="e">
        <f>IF(SUMPRODUCT($J$85:BG$85,$J14:BG14)&lt;0.5, "Pending", IF(BG14&lt;0.5, "Complete", "In Progress"))</f>
        <v>#REF!</v>
      </c>
      <c r="BI14" s="22">
        <v>0</v>
      </c>
      <c r="BJ14" s="22" t="e">
        <f t="shared" si="2"/>
        <v>#REF!</v>
      </c>
      <c r="BK14" s="23" t="e">
        <f>IF(SUMPRODUCT($J$85:BJ$85,$J14:BJ14)&lt;0.5, "Pending", IF(BJ14&lt;0.5, "Complete", "In Progress"))</f>
        <v>#REF!</v>
      </c>
      <c r="BL14" s="22">
        <v>0</v>
      </c>
      <c r="BM14" s="22" t="e">
        <f t="shared" si="3"/>
        <v>#REF!</v>
      </c>
      <c r="BN14" s="23" t="e">
        <f>IF(SUMPRODUCT($J$85:BM$85,$J14:BM14)&lt;0.5, "Pending", IF(BM14&lt;0.5, "Complete", "In Progress"))</f>
        <v>#REF!</v>
      </c>
      <c r="BO14" s="22">
        <v>0</v>
      </c>
      <c r="BP14" s="22" t="e">
        <f t="shared" si="4"/>
        <v>#REF!</v>
      </c>
      <c r="BQ14" s="23" t="e">
        <f>IF(SUMPRODUCT($J$85:BP$85,$J14:BP14)&lt;0.5, "Pending", IF(BP14&lt;0.5, "Complete", "In Progress"))</f>
        <v>#REF!</v>
      </c>
      <c r="BR14" s="22">
        <v>0</v>
      </c>
      <c r="BS14" s="22" t="e">
        <f t="shared" si="5"/>
        <v>#REF!</v>
      </c>
      <c r="BT14" s="23" t="e">
        <f>IF(SUMPRODUCT($J$85:BS$85,$J14:BS14)&lt;0.5, "Pending", IF(BS14&lt;0.5, "Complete", "In Progress"))</f>
        <v>#REF!</v>
      </c>
      <c r="BU14" s="22">
        <v>0</v>
      </c>
      <c r="BV14" s="22" t="e">
        <f t="shared" si="6"/>
        <v>#REF!</v>
      </c>
      <c r="BW14" s="23" t="e">
        <f>IF(SUMPRODUCT($J$85:BV$85,$J14:BV14)&lt;0.5, "Pending", IF(BV14&lt;0.5, "Complete", "In Progress"))</f>
        <v>#REF!</v>
      </c>
      <c r="BX14" s="22">
        <v>0</v>
      </c>
      <c r="BY14" s="22" t="e">
        <f t="shared" si="7"/>
        <v>#REF!</v>
      </c>
      <c r="BZ14" s="23" t="e">
        <f>IF(SUMPRODUCT($J$85:BY$85,$J14:BY14)&lt;0.5, "Pending", IF(BY14&lt;0.5, "Complete", "In Progress"))</f>
        <v>#REF!</v>
      </c>
      <c r="CA14" s="22">
        <v>0</v>
      </c>
      <c r="CB14" s="22" t="e">
        <f t="shared" si="8"/>
        <v>#REF!</v>
      </c>
      <c r="CC14" s="23" t="e">
        <f>IF(SUMPRODUCT($J$85:CB$85,$J14:CB14)&lt;0.5, "Pending", IF(CB14&lt;0.5, "Complete", "In Progress"))</f>
        <v>#REF!</v>
      </c>
      <c r="CD14" s="24"/>
      <c r="CE14" s="25">
        <f>SUMPRODUCT($H$85:AY$85,$H14:AY14)</f>
        <v>43</v>
      </c>
    </row>
    <row r="15" spans="1:83" ht="13.8" customHeight="1" x14ac:dyDescent="0.25">
      <c r="A15" s="16" t="s">
        <v>103</v>
      </c>
      <c r="B15" s="16" t="s">
        <v>117</v>
      </c>
      <c r="C15" s="16" t="s">
        <v>144</v>
      </c>
      <c r="D15" s="17" t="s">
        <v>146</v>
      </c>
      <c r="E15" s="158" t="s">
        <v>312</v>
      </c>
      <c r="F15" s="158" t="s">
        <v>496</v>
      </c>
      <c r="G15" s="19"/>
      <c r="H15" s="20">
        <v>1</v>
      </c>
      <c r="I15" s="21">
        <v>6</v>
      </c>
      <c r="J15" s="21">
        <v>0</v>
      </c>
      <c r="K15" s="21">
        <v>0</v>
      </c>
      <c r="L15" s="21">
        <v>0</v>
      </c>
      <c r="M15" s="21">
        <v>0</v>
      </c>
      <c r="N15" s="21">
        <v>0</v>
      </c>
      <c r="O15" s="21">
        <v>0</v>
      </c>
      <c r="P15" s="21">
        <v>0</v>
      </c>
      <c r="Q15" s="21">
        <v>0</v>
      </c>
      <c r="R15" s="21">
        <v>0</v>
      </c>
      <c r="S15" s="21">
        <v>0</v>
      </c>
      <c r="T15" s="21">
        <v>0</v>
      </c>
      <c r="U15" s="21">
        <v>0</v>
      </c>
      <c r="V15" s="21">
        <v>0</v>
      </c>
      <c r="W15" s="21">
        <v>0</v>
      </c>
      <c r="X15" s="21">
        <v>0</v>
      </c>
      <c r="Y15" s="21">
        <v>0</v>
      </c>
      <c r="Z15" s="21">
        <v>0</v>
      </c>
      <c r="AA15" s="21">
        <v>0</v>
      </c>
      <c r="AB15" s="21">
        <v>0</v>
      </c>
      <c r="AC15" s="21">
        <v>0</v>
      </c>
      <c r="AD15" s="21">
        <v>0</v>
      </c>
      <c r="AE15" s="21">
        <v>0</v>
      </c>
      <c r="AF15" s="21">
        <v>0</v>
      </c>
      <c r="AG15" s="21">
        <v>0</v>
      </c>
      <c r="AH15" s="21">
        <v>0</v>
      </c>
      <c r="AI15" s="21">
        <v>0</v>
      </c>
      <c r="AJ15" s="21">
        <v>0</v>
      </c>
      <c r="AK15" s="21">
        <v>0</v>
      </c>
      <c r="AL15" s="21">
        <v>0</v>
      </c>
      <c r="AM15" s="21">
        <v>0</v>
      </c>
      <c r="AN15" s="21">
        <v>0</v>
      </c>
      <c r="AO15" s="21">
        <v>0</v>
      </c>
      <c r="AP15" s="21">
        <v>0</v>
      </c>
      <c r="AQ15" s="21">
        <v>0</v>
      </c>
      <c r="AR15" s="21">
        <v>0</v>
      </c>
      <c r="AS15" s="21">
        <v>0</v>
      </c>
      <c r="AT15" s="21">
        <v>0</v>
      </c>
      <c r="AU15" s="21">
        <v>0</v>
      </c>
      <c r="AV15" s="21">
        <v>0</v>
      </c>
      <c r="AW15" s="21">
        <v>0</v>
      </c>
      <c r="AX15" s="21">
        <v>0</v>
      </c>
      <c r="AY15" s="21">
        <v>0</v>
      </c>
      <c r="AZ15" s="22">
        <v>0</v>
      </c>
      <c r="BA15" s="22" t="e">
        <f>MAX(#REF!-AZ15,0)</f>
        <v>#REF!</v>
      </c>
      <c r="BB15" s="23" t="e">
        <f>IF(SUMPRODUCT($J$85:BA$85,$J15:BA15)&lt;0.5, "Pending", IF(BA15&lt;0.5, "Complete", "In Progress"))</f>
        <v>#REF!</v>
      </c>
      <c r="BC15" s="22">
        <v>0</v>
      </c>
      <c r="BD15" s="22" t="e">
        <f t="shared" si="0"/>
        <v>#REF!</v>
      </c>
      <c r="BE15" s="23" t="e">
        <f>IF(SUMPRODUCT($J$85:BD$85,$J15:BD15)&lt;0.5, "Pending", IF(BD15&lt;0.5, "Complete", "In Progress"))</f>
        <v>#REF!</v>
      </c>
      <c r="BF15" s="22">
        <v>0</v>
      </c>
      <c r="BG15" s="22" t="e">
        <f t="shared" si="1"/>
        <v>#REF!</v>
      </c>
      <c r="BH15" s="23" t="e">
        <f>IF(SUMPRODUCT($J$85:BG$85,$J15:BG15)&lt;0.5, "Pending", IF(BG15&lt;0.5, "Complete", "In Progress"))</f>
        <v>#REF!</v>
      </c>
      <c r="BI15" s="22">
        <v>0</v>
      </c>
      <c r="BJ15" s="22" t="e">
        <f t="shared" si="2"/>
        <v>#REF!</v>
      </c>
      <c r="BK15" s="23" t="e">
        <f>IF(SUMPRODUCT($J$85:BJ$85,$J15:BJ15)&lt;0.5, "Pending", IF(BJ15&lt;0.5, "Complete", "In Progress"))</f>
        <v>#REF!</v>
      </c>
      <c r="BL15" s="22">
        <v>0</v>
      </c>
      <c r="BM15" s="22" t="e">
        <f t="shared" si="3"/>
        <v>#REF!</v>
      </c>
      <c r="BN15" s="23" t="e">
        <f>IF(SUMPRODUCT($J$85:BM$85,$J15:BM15)&lt;0.5, "Pending", IF(BM15&lt;0.5, "Complete", "In Progress"))</f>
        <v>#REF!</v>
      </c>
      <c r="BO15" s="22">
        <v>0</v>
      </c>
      <c r="BP15" s="22" t="e">
        <f t="shared" si="4"/>
        <v>#REF!</v>
      </c>
      <c r="BQ15" s="23" t="e">
        <f>IF(SUMPRODUCT($J$85:BP$85,$J15:BP15)&lt;0.5, "Pending", IF(BP15&lt;0.5, "Complete", "In Progress"))</f>
        <v>#REF!</v>
      </c>
      <c r="BR15" s="22">
        <v>0</v>
      </c>
      <c r="BS15" s="22" t="e">
        <f t="shared" si="5"/>
        <v>#REF!</v>
      </c>
      <c r="BT15" s="23" t="e">
        <f>IF(SUMPRODUCT($J$85:BS$85,$J15:BS15)&lt;0.5, "Pending", IF(BS15&lt;0.5, "Complete", "In Progress"))</f>
        <v>#REF!</v>
      </c>
      <c r="BU15" s="22">
        <v>0</v>
      </c>
      <c r="BV15" s="22" t="e">
        <f t="shared" si="6"/>
        <v>#REF!</v>
      </c>
      <c r="BW15" s="23" t="e">
        <f>IF(SUMPRODUCT($J$85:BV$85,$J15:BV15)&lt;0.5, "Pending", IF(BV15&lt;0.5, "Complete", "In Progress"))</f>
        <v>#REF!</v>
      </c>
      <c r="BX15" s="22">
        <v>0</v>
      </c>
      <c r="BY15" s="22" t="e">
        <f t="shared" si="7"/>
        <v>#REF!</v>
      </c>
      <c r="BZ15" s="23" t="e">
        <f>IF(SUMPRODUCT($J$85:BY$85,$J15:BY15)&lt;0.5, "Pending", IF(BY15&lt;0.5, "Complete", "In Progress"))</f>
        <v>#REF!</v>
      </c>
      <c r="CA15" s="22">
        <v>0</v>
      </c>
      <c r="CB15" s="22" t="e">
        <f t="shared" si="8"/>
        <v>#REF!</v>
      </c>
      <c r="CC15" s="23" t="e">
        <f>IF(SUMPRODUCT($J$85:CB$85,$J15:CB15)&lt;0.5, "Pending", IF(CB15&lt;0.5, "Complete", "In Progress"))</f>
        <v>#REF!</v>
      </c>
      <c r="CD15" s="24"/>
      <c r="CE15" s="25">
        <f>SUMPRODUCT($H$85:AY$85,$H15:AY15)</f>
        <v>43</v>
      </c>
    </row>
    <row r="16" spans="1:83" ht="13.8" customHeight="1" x14ac:dyDescent="0.25">
      <c r="A16" s="16" t="s">
        <v>103</v>
      </c>
      <c r="B16" s="16" t="s">
        <v>109</v>
      </c>
      <c r="C16" s="16" t="s">
        <v>133</v>
      </c>
      <c r="D16" s="17">
        <v>1.2</v>
      </c>
      <c r="E16" s="158" t="s">
        <v>313</v>
      </c>
      <c r="F16" s="158" t="s">
        <v>495</v>
      </c>
      <c r="G16" s="169"/>
      <c r="H16" s="20">
        <v>1</v>
      </c>
      <c r="I16" s="21">
        <v>6</v>
      </c>
      <c r="J16" s="21">
        <v>0</v>
      </c>
      <c r="K16" s="21">
        <v>0</v>
      </c>
      <c r="L16" s="21">
        <v>0</v>
      </c>
      <c r="M16" s="21">
        <v>0</v>
      </c>
      <c r="N16" s="21">
        <v>0</v>
      </c>
      <c r="O16" s="21">
        <v>0</v>
      </c>
      <c r="P16" s="21">
        <v>0</v>
      </c>
      <c r="Q16" s="21">
        <v>0</v>
      </c>
      <c r="R16" s="21">
        <v>0</v>
      </c>
      <c r="S16" s="21">
        <v>0</v>
      </c>
      <c r="T16" s="21">
        <v>0</v>
      </c>
      <c r="U16" s="21">
        <v>0</v>
      </c>
      <c r="V16" s="21">
        <v>0</v>
      </c>
      <c r="W16" s="21">
        <v>0</v>
      </c>
      <c r="X16" s="21">
        <v>0</v>
      </c>
      <c r="Y16" s="21">
        <v>0</v>
      </c>
      <c r="Z16" s="21">
        <v>0</v>
      </c>
      <c r="AA16" s="21">
        <v>0</v>
      </c>
      <c r="AB16" s="21">
        <v>0</v>
      </c>
      <c r="AC16" s="21">
        <v>0</v>
      </c>
      <c r="AD16" s="21">
        <v>0</v>
      </c>
      <c r="AE16" s="21">
        <v>0</v>
      </c>
      <c r="AF16" s="21">
        <v>0</v>
      </c>
      <c r="AG16" s="21">
        <v>0</v>
      </c>
      <c r="AH16" s="21">
        <v>0</v>
      </c>
      <c r="AI16" s="21">
        <v>0</v>
      </c>
      <c r="AJ16" s="21">
        <v>0</v>
      </c>
      <c r="AK16" s="21">
        <v>0</v>
      </c>
      <c r="AL16" s="21">
        <v>0</v>
      </c>
      <c r="AM16" s="21">
        <v>0</v>
      </c>
      <c r="AN16" s="21">
        <v>0</v>
      </c>
      <c r="AO16" s="21">
        <v>0</v>
      </c>
      <c r="AP16" s="21">
        <v>0</v>
      </c>
      <c r="AQ16" s="21">
        <v>0</v>
      </c>
      <c r="AR16" s="21">
        <v>0</v>
      </c>
      <c r="AS16" s="21">
        <v>0</v>
      </c>
      <c r="AT16" s="21">
        <v>0</v>
      </c>
      <c r="AU16" s="21">
        <v>0</v>
      </c>
      <c r="AV16" s="21">
        <v>0</v>
      </c>
      <c r="AW16" s="21">
        <v>0</v>
      </c>
      <c r="AX16" s="21">
        <v>0</v>
      </c>
      <c r="AY16" s="21">
        <v>0</v>
      </c>
      <c r="AZ16" s="22">
        <v>0</v>
      </c>
      <c r="BA16" s="22" t="e">
        <f>MAX(#REF!-AZ16,0)</f>
        <v>#REF!</v>
      </c>
      <c r="BB16" s="23" t="e">
        <f>IF(SUMPRODUCT($J$85:BA$85,$J16:BA16)&lt;0.5, "Pending", IF(BA16&lt;0.5, "Complete", "In Progress"))</f>
        <v>#REF!</v>
      </c>
      <c r="BC16" s="22">
        <v>0</v>
      </c>
      <c r="BD16" s="22" t="e">
        <f t="shared" si="0"/>
        <v>#REF!</v>
      </c>
      <c r="BE16" s="23" t="e">
        <f>IF(SUMPRODUCT($J$85:BD$85,$J16:BD16)&lt;0.5, "Pending", IF(BD16&lt;0.5, "Complete", "In Progress"))</f>
        <v>#REF!</v>
      </c>
      <c r="BF16" s="22">
        <v>0</v>
      </c>
      <c r="BG16" s="22" t="e">
        <f t="shared" si="1"/>
        <v>#REF!</v>
      </c>
      <c r="BH16" s="23" t="e">
        <f>IF(SUMPRODUCT($J$85:BG$85,$J16:BG16)&lt;0.5, "Pending", IF(BG16&lt;0.5, "Complete", "In Progress"))</f>
        <v>#REF!</v>
      </c>
      <c r="BI16" s="22">
        <v>0</v>
      </c>
      <c r="BJ16" s="22" t="e">
        <f t="shared" si="2"/>
        <v>#REF!</v>
      </c>
      <c r="BK16" s="23" t="e">
        <f>IF(SUMPRODUCT($J$85:BJ$85,$J16:BJ16)&lt;0.5, "Pending", IF(BJ16&lt;0.5, "Complete", "In Progress"))</f>
        <v>#REF!</v>
      </c>
      <c r="BL16" s="22">
        <v>0</v>
      </c>
      <c r="BM16" s="22" t="e">
        <f t="shared" si="3"/>
        <v>#REF!</v>
      </c>
      <c r="BN16" s="23" t="e">
        <f>IF(SUMPRODUCT($J$85:BM$85,$J16:BM16)&lt;0.5, "Pending", IF(BM16&lt;0.5, "Complete", "In Progress"))</f>
        <v>#REF!</v>
      </c>
      <c r="BO16" s="22">
        <v>0</v>
      </c>
      <c r="BP16" s="22" t="e">
        <f t="shared" si="4"/>
        <v>#REF!</v>
      </c>
      <c r="BQ16" s="23" t="e">
        <f>IF(SUMPRODUCT($J$85:BP$85,$J16:BP16)&lt;0.5, "Pending", IF(BP16&lt;0.5, "Complete", "In Progress"))</f>
        <v>#REF!</v>
      </c>
      <c r="BR16" s="22">
        <v>0</v>
      </c>
      <c r="BS16" s="22" t="e">
        <f t="shared" si="5"/>
        <v>#REF!</v>
      </c>
      <c r="BT16" s="23" t="e">
        <f>IF(SUMPRODUCT($J$85:BS$85,$J16:BS16)&lt;0.5, "Pending", IF(BS16&lt;0.5, "Complete", "In Progress"))</f>
        <v>#REF!</v>
      </c>
      <c r="BU16" s="22">
        <v>0</v>
      </c>
      <c r="BV16" s="22" t="e">
        <f t="shared" si="6"/>
        <v>#REF!</v>
      </c>
      <c r="BW16" s="23" t="e">
        <f>IF(SUMPRODUCT($J$85:BV$85,$J16:BV16)&lt;0.5, "Pending", IF(BV16&lt;0.5, "Complete", "In Progress"))</f>
        <v>#REF!</v>
      </c>
      <c r="BX16" s="22">
        <v>0</v>
      </c>
      <c r="BY16" s="22" t="e">
        <f t="shared" si="7"/>
        <v>#REF!</v>
      </c>
      <c r="BZ16" s="23" t="e">
        <f>IF(SUMPRODUCT($J$85:BY$85,$J16:BY16)&lt;0.5, "Pending", IF(BY16&lt;0.5, "Complete", "In Progress"))</f>
        <v>#REF!</v>
      </c>
      <c r="CA16" s="22">
        <v>0</v>
      </c>
      <c r="CB16" s="22" t="e">
        <f t="shared" si="8"/>
        <v>#REF!</v>
      </c>
      <c r="CC16" s="23" t="e">
        <f>IF(SUMPRODUCT($J$85:CB$85,$J16:CB16)&lt;0.5, "Pending", IF(CB16&lt;0.5, "Complete", "In Progress"))</f>
        <v>#REF!</v>
      </c>
      <c r="CD16" s="24"/>
      <c r="CE16" s="25">
        <f>SUMPRODUCT($H$85:AY$85,$H16:AY16)</f>
        <v>43</v>
      </c>
    </row>
    <row r="17" spans="1:83" ht="13.8" customHeight="1" x14ac:dyDescent="0.25">
      <c r="A17" s="16" t="s">
        <v>104</v>
      </c>
      <c r="B17" s="16" t="s">
        <v>111</v>
      </c>
      <c r="C17" s="16" t="s">
        <v>501</v>
      </c>
      <c r="D17" s="17" t="s">
        <v>147</v>
      </c>
      <c r="E17" s="158" t="s">
        <v>314</v>
      </c>
      <c r="F17" s="158" t="s">
        <v>493</v>
      </c>
      <c r="G17" s="168"/>
      <c r="H17" s="20">
        <v>1</v>
      </c>
      <c r="I17" s="21">
        <v>56</v>
      </c>
      <c r="J17" s="21">
        <v>0</v>
      </c>
      <c r="K17" s="21">
        <v>0</v>
      </c>
      <c r="L17" s="21">
        <v>0</v>
      </c>
      <c r="M17" s="21">
        <v>0</v>
      </c>
      <c r="N17" s="21">
        <v>0</v>
      </c>
      <c r="O17" s="21">
        <v>0</v>
      </c>
      <c r="P17" s="21">
        <v>0</v>
      </c>
      <c r="Q17" s="21">
        <v>0</v>
      </c>
      <c r="R17" s="21">
        <v>0</v>
      </c>
      <c r="S17" s="21">
        <v>0</v>
      </c>
      <c r="T17" s="21">
        <v>0</v>
      </c>
      <c r="U17" s="21">
        <v>0</v>
      </c>
      <c r="V17" s="21">
        <v>0</v>
      </c>
      <c r="W17" s="21">
        <v>0</v>
      </c>
      <c r="X17" s="21">
        <v>0</v>
      </c>
      <c r="Y17" s="21">
        <v>0</v>
      </c>
      <c r="Z17" s="21">
        <v>0</v>
      </c>
      <c r="AA17" s="21">
        <v>0</v>
      </c>
      <c r="AB17" s="21">
        <v>0</v>
      </c>
      <c r="AC17" s="21">
        <v>0</v>
      </c>
      <c r="AD17" s="21">
        <v>0</v>
      </c>
      <c r="AE17" s="21">
        <v>0</v>
      </c>
      <c r="AF17" s="21">
        <v>0</v>
      </c>
      <c r="AG17" s="21">
        <v>0</v>
      </c>
      <c r="AH17" s="21">
        <v>0</v>
      </c>
      <c r="AI17" s="21">
        <v>0</v>
      </c>
      <c r="AJ17" s="21">
        <v>0</v>
      </c>
      <c r="AK17" s="21">
        <v>0</v>
      </c>
      <c r="AL17" s="21">
        <v>0</v>
      </c>
      <c r="AM17" s="21">
        <v>0</v>
      </c>
      <c r="AN17" s="21">
        <v>0</v>
      </c>
      <c r="AO17" s="21">
        <v>0</v>
      </c>
      <c r="AP17" s="21">
        <v>0</v>
      </c>
      <c r="AQ17" s="21">
        <v>0</v>
      </c>
      <c r="AR17" s="21">
        <v>0</v>
      </c>
      <c r="AS17" s="21">
        <v>0</v>
      </c>
      <c r="AT17" s="21">
        <v>0</v>
      </c>
      <c r="AU17" s="21">
        <v>0</v>
      </c>
      <c r="AV17" s="21">
        <v>0</v>
      </c>
      <c r="AW17" s="21">
        <v>0</v>
      </c>
      <c r="AX17" s="21">
        <v>0</v>
      </c>
      <c r="AY17" s="21">
        <v>0</v>
      </c>
      <c r="AZ17" s="22">
        <v>0</v>
      </c>
      <c r="BA17" s="22" t="e">
        <f>MAX(#REF!-AZ17,0)</f>
        <v>#REF!</v>
      </c>
      <c r="BB17" s="23" t="e">
        <f>IF(SUMPRODUCT($J$85:BA$85,$J17:BA17)&lt;0.5, "Pending", IF(BA17&lt;0.5, "Complete", "In Progress"))</f>
        <v>#REF!</v>
      </c>
      <c r="BC17" s="22">
        <v>0</v>
      </c>
      <c r="BD17" s="22" t="e">
        <f t="shared" si="0"/>
        <v>#REF!</v>
      </c>
      <c r="BE17" s="23" t="e">
        <f>IF(SUMPRODUCT($J$85:BD$85,$J17:BD17)&lt;0.5, "Pending", IF(BD17&lt;0.5, "Complete", "In Progress"))</f>
        <v>#REF!</v>
      </c>
      <c r="BF17" s="22">
        <v>0</v>
      </c>
      <c r="BG17" s="22" t="e">
        <f t="shared" si="1"/>
        <v>#REF!</v>
      </c>
      <c r="BH17" s="23" t="e">
        <f>IF(SUMPRODUCT($J$85:BG$85,$J17:BG17)&lt;0.5, "Pending", IF(BG17&lt;0.5, "Complete", "In Progress"))</f>
        <v>#REF!</v>
      </c>
      <c r="BI17" s="22">
        <v>0</v>
      </c>
      <c r="BJ17" s="22" t="e">
        <f t="shared" si="2"/>
        <v>#REF!</v>
      </c>
      <c r="BK17" s="23" t="e">
        <f>IF(SUMPRODUCT($J$85:BJ$85,$J17:BJ17)&lt;0.5, "Pending", IF(BJ17&lt;0.5, "Complete", "In Progress"))</f>
        <v>#REF!</v>
      </c>
      <c r="BL17" s="22">
        <v>0</v>
      </c>
      <c r="BM17" s="22" t="e">
        <f t="shared" si="3"/>
        <v>#REF!</v>
      </c>
      <c r="BN17" s="23" t="e">
        <f>IF(SUMPRODUCT($J$85:BM$85,$J17:BM17)&lt;0.5, "Pending", IF(BM17&lt;0.5, "Complete", "In Progress"))</f>
        <v>#REF!</v>
      </c>
      <c r="BO17" s="22">
        <v>0</v>
      </c>
      <c r="BP17" s="22" t="e">
        <f t="shared" si="4"/>
        <v>#REF!</v>
      </c>
      <c r="BQ17" s="23" t="e">
        <f>IF(SUMPRODUCT($J$85:BP$85,$J17:BP17)&lt;0.5, "Pending", IF(BP17&lt;0.5, "Complete", "In Progress"))</f>
        <v>#REF!</v>
      </c>
      <c r="BR17" s="22">
        <v>0</v>
      </c>
      <c r="BS17" s="22" t="e">
        <f t="shared" si="5"/>
        <v>#REF!</v>
      </c>
      <c r="BT17" s="23" t="e">
        <f>IF(SUMPRODUCT($J$85:BS$85,$J17:BS17)&lt;0.5, "Pending", IF(BS17&lt;0.5, "Complete", "In Progress"))</f>
        <v>#REF!</v>
      </c>
      <c r="BU17" s="22">
        <v>0</v>
      </c>
      <c r="BV17" s="22" t="e">
        <f t="shared" si="6"/>
        <v>#REF!</v>
      </c>
      <c r="BW17" s="23" t="e">
        <f>IF(SUMPRODUCT($J$85:BV$85,$J17:BV17)&lt;0.5, "Pending", IF(BV17&lt;0.5, "Complete", "In Progress"))</f>
        <v>#REF!</v>
      </c>
      <c r="BX17" s="22">
        <v>0</v>
      </c>
      <c r="BY17" s="22" t="e">
        <f t="shared" si="7"/>
        <v>#REF!</v>
      </c>
      <c r="BZ17" s="23" t="e">
        <f>IF(SUMPRODUCT($J$85:BY$85,$J17:BY17)&lt;0.5, "Pending", IF(BY17&lt;0.5, "Complete", "In Progress"))</f>
        <v>#REF!</v>
      </c>
      <c r="CA17" s="22">
        <v>0</v>
      </c>
      <c r="CB17" s="22" t="e">
        <f t="shared" si="8"/>
        <v>#REF!</v>
      </c>
      <c r="CC17" s="23" t="e">
        <f>IF(SUMPRODUCT($J$85:CB$85,$J17:CB17)&lt;0.5, "Pending", IF(CB17&lt;0.5, "Complete", "In Progress"))</f>
        <v>#REF!</v>
      </c>
      <c r="CD17" s="24"/>
      <c r="CE17" s="25">
        <f>SUMPRODUCT($H$85:AY$85,$H17:AY17)</f>
        <v>393</v>
      </c>
    </row>
    <row r="18" spans="1:83" ht="13.8" customHeight="1" x14ac:dyDescent="0.25">
      <c r="A18" s="16" t="s">
        <v>104</v>
      </c>
      <c r="B18" s="16" t="s">
        <v>111</v>
      </c>
      <c r="C18" s="16" t="s">
        <v>501</v>
      </c>
      <c r="D18" s="17" t="s">
        <v>148</v>
      </c>
      <c r="E18" s="158" t="s">
        <v>315</v>
      </c>
      <c r="F18" s="158" t="s">
        <v>494</v>
      </c>
      <c r="G18" s="19"/>
      <c r="H18" s="20">
        <v>1</v>
      </c>
      <c r="I18" s="21">
        <v>6</v>
      </c>
      <c r="J18" s="21">
        <v>0</v>
      </c>
      <c r="K18" s="21">
        <v>0</v>
      </c>
      <c r="L18" s="21">
        <v>0</v>
      </c>
      <c r="M18" s="21">
        <v>0</v>
      </c>
      <c r="N18" s="21">
        <v>0</v>
      </c>
      <c r="O18" s="21">
        <v>0</v>
      </c>
      <c r="P18" s="21">
        <v>0</v>
      </c>
      <c r="Q18" s="21">
        <v>0</v>
      </c>
      <c r="R18" s="21">
        <v>0</v>
      </c>
      <c r="S18" s="21">
        <v>0</v>
      </c>
      <c r="T18" s="21">
        <v>0</v>
      </c>
      <c r="U18" s="21">
        <v>0</v>
      </c>
      <c r="V18" s="21">
        <v>0</v>
      </c>
      <c r="W18" s="21">
        <v>0</v>
      </c>
      <c r="X18" s="21">
        <v>0</v>
      </c>
      <c r="Y18" s="21">
        <v>0</v>
      </c>
      <c r="Z18" s="21">
        <v>0</v>
      </c>
      <c r="AA18" s="21">
        <v>0</v>
      </c>
      <c r="AB18" s="21">
        <v>0</v>
      </c>
      <c r="AC18" s="21">
        <v>0</v>
      </c>
      <c r="AD18" s="21">
        <v>0</v>
      </c>
      <c r="AE18" s="21">
        <v>0</v>
      </c>
      <c r="AF18" s="21">
        <v>0</v>
      </c>
      <c r="AG18" s="21">
        <v>0</v>
      </c>
      <c r="AH18" s="21">
        <v>0</v>
      </c>
      <c r="AI18" s="21">
        <v>0</v>
      </c>
      <c r="AJ18" s="21">
        <v>0</v>
      </c>
      <c r="AK18" s="21">
        <v>0</v>
      </c>
      <c r="AL18" s="21">
        <v>0</v>
      </c>
      <c r="AM18" s="21">
        <v>0</v>
      </c>
      <c r="AN18" s="21">
        <v>0</v>
      </c>
      <c r="AO18" s="21">
        <v>0</v>
      </c>
      <c r="AP18" s="21">
        <v>0</v>
      </c>
      <c r="AQ18" s="21">
        <v>0</v>
      </c>
      <c r="AR18" s="21">
        <v>0</v>
      </c>
      <c r="AS18" s="21">
        <v>0</v>
      </c>
      <c r="AT18" s="21">
        <v>0</v>
      </c>
      <c r="AU18" s="21">
        <v>0</v>
      </c>
      <c r="AV18" s="21">
        <v>0</v>
      </c>
      <c r="AW18" s="21">
        <v>0</v>
      </c>
      <c r="AX18" s="21">
        <v>0</v>
      </c>
      <c r="AY18" s="21">
        <v>0</v>
      </c>
      <c r="AZ18" s="22">
        <v>0</v>
      </c>
      <c r="BA18" s="22" t="e">
        <f>MAX(#REF!-AZ18,0)</f>
        <v>#REF!</v>
      </c>
      <c r="BB18" s="23" t="e">
        <f>IF(SUMPRODUCT($J$85:BA$85,$J18:BA18)&lt;0.5, "Pending", IF(BA18&lt;0.5, "Complete", "In Progress"))</f>
        <v>#REF!</v>
      </c>
      <c r="BC18" s="22">
        <v>0</v>
      </c>
      <c r="BD18" s="22" t="e">
        <f t="shared" si="0"/>
        <v>#REF!</v>
      </c>
      <c r="BE18" s="23" t="e">
        <f>IF(SUMPRODUCT($J$85:BD$85,$J18:BD18)&lt;0.5, "Pending", IF(BD18&lt;0.5, "Complete", "In Progress"))</f>
        <v>#REF!</v>
      </c>
      <c r="BF18" s="22">
        <v>0</v>
      </c>
      <c r="BG18" s="22" t="e">
        <f t="shared" si="1"/>
        <v>#REF!</v>
      </c>
      <c r="BH18" s="23" t="e">
        <f>IF(SUMPRODUCT($J$85:BG$85,$J18:BG18)&lt;0.5, "Pending", IF(BG18&lt;0.5, "Complete", "In Progress"))</f>
        <v>#REF!</v>
      </c>
      <c r="BI18" s="22">
        <v>0</v>
      </c>
      <c r="BJ18" s="22" t="e">
        <f t="shared" si="2"/>
        <v>#REF!</v>
      </c>
      <c r="BK18" s="23" t="e">
        <f>IF(SUMPRODUCT($J$85:BJ$85,$J18:BJ18)&lt;0.5, "Pending", IF(BJ18&lt;0.5, "Complete", "In Progress"))</f>
        <v>#REF!</v>
      </c>
      <c r="BL18" s="22">
        <v>0</v>
      </c>
      <c r="BM18" s="22" t="e">
        <f t="shared" si="3"/>
        <v>#REF!</v>
      </c>
      <c r="BN18" s="23" t="e">
        <f>IF(SUMPRODUCT($J$85:BM$85,$J18:BM18)&lt;0.5, "Pending", IF(BM18&lt;0.5, "Complete", "In Progress"))</f>
        <v>#REF!</v>
      </c>
      <c r="BO18" s="22">
        <v>0</v>
      </c>
      <c r="BP18" s="22" t="e">
        <f t="shared" si="4"/>
        <v>#REF!</v>
      </c>
      <c r="BQ18" s="23" t="e">
        <f>IF(SUMPRODUCT($J$85:BP$85,$J18:BP18)&lt;0.5, "Pending", IF(BP18&lt;0.5, "Complete", "In Progress"))</f>
        <v>#REF!</v>
      </c>
      <c r="BR18" s="22">
        <v>0</v>
      </c>
      <c r="BS18" s="22" t="e">
        <f t="shared" si="5"/>
        <v>#REF!</v>
      </c>
      <c r="BT18" s="23" t="e">
        <f>IF(SUMPRODUCT($J$85:BS$85,$J18:BS18)&lt;0.5, "Pending", IF(BS18&lt;0.5, "Complete", "In Progress"))</f>
        <v>#REF!</v>
      </c>
      <c r="BU18" s="22">
        <v>0</v>
      </c>
      <c r="BV18" s="22" t="e">
        <f t="shared" si="6"/>
        <v>#REF!</v>
      </c>
      <c r="BW18" s="23" t="e">
        <f>IF(SUMPRODUCT($J$85:BV$85,$J18:BV18)&lt;0.5, "Pending", IF(BV18&lt;0.5, "Complete", "In Progress"))</f>
        <v>#REF!</v>
      </c>
      <c r="BX18" s="22">
        <v>0</v>
      </c>
      <c r="BY18" s="22" t="e">
        <f t="shared" si="7"/>
        <v>#REF!</v>
      </c>
      <c r="BZ18" s="23" t="e">
        <f>IF(SUMPRODUCT($J$85:BY$85,$J18:BY18)&lt;0.5, "Pending", IF(BY18&lt;0.5, "Complete", "In Progress"))</f>
        <v>#REF!</v>
      </c>
      <c r="CA18" s="22">
        <v>0</v>
      </c>
      <c r="CB18" s="22" t="e">
        <f t="shared" si="8"/>
        <v>#REF!</v>
      </c>
      <c r="CC18" s="23" t="e">
        <f>IF(SUMPRODUCT($J$85:CB$85,$J18:CB18)&lt;0.5, "Pending", IF(CB18&lt;0.5, "Complete", "In Progress"))</f>
        <v>#REF!</v>
      </c>
      <c r="CD18" s="24"/>
      <c r="CE18" s="25">
        <f>SUMPRODUCT($H$85:AY$85,$H18:AY18)</f>
        <v>43</v>
      </c>
    </row>
    <row r="19" spans="1:83" ht="13.8" customHeight="1" x14ac:dyDescent="0.25">
      <c r="A19" s="16" t="s">
        <v>103</v>
      </c>
      <c r="B19" s="16" t="s">
        <v>109</v>
      </c>
      <c r="C19" s="16" t="s">
        <v>501</v>
      </c>
      <c r="D19" s="17" t="s">
        <v>149</v>
      </c>
      <c r="E19" s="158" t="s">
        <v>316</v>
      </c>
      <c r="F19" s="158" t="s">
        <v>497</v>
      </c>
      <c r="G19" s="19"/>
      <c r="H19" s="20">
        <v>1</v>
      </c>
      <c r="I19" s="21">
        <v>6</v>
      </c>
      <c r="J19" s="21">
        <v>0</v>
      </c>
      <c r="K19" s="21">
        <v>0</v>
      </c>
      <c r="L19" s="21">
        <v>0</v>
      </c>
      <c r="M19" s="21">
        <v>0</v>
      </c>
      <c r="N19" s="21">
        <v>0</v>
      </c>
      <c r="O19" s="21">
        <v>0</v>
      </c>
      <c r="P19" s="21">
        <v>0</v>
      </c>
      <c r="Q19" s="21">
        <v>0</v>
      </c>
      <c r="R19" s="21">
        <v>0</v>
      </c>
      <c r="S19" s="21">
        <v>0</v>
      </c>
      <c r="T19" s="21">
        <v>0</v>
      </c>
      <c r="U19" s="21">
        <v>0</v>
      </c>
      <c r="V19" s="21">
        <v>0</v>
      </c>
      <c r="W19" s="21">
        <v>0</v>
      </c>
      <c r="X19" s="21">
        <v>0</v>
      </c>
      <c r="Y19" s="21">
        <v>0</v>
      </c>
      <c r="Z19" s="21">
        <v>0</v>
      </c>
      <c r="AA19" s="21">
        <v>0</v>
      </c>
      <c r="AB19" s="21">
        <v>0</v>
      </c>
      <c r="AC19" s="21">
        <v>0</v>
      </c>
      <c r="AD19" s="21">
        <v>0</v>
      </c>
      <c r="AE19" s="21">
        <v>0</v>
      </c>
      <c r="AF19" s="21">
        <v>0</v>
      </c>
      <c r="AG19" s="21">
        <v>0</v>
      </c>
      <c r="AH19" s="21">
        <v>0</v>
      </c>
      <c r="AI19" s="21">
        <v>0</v>
      </c>
      <c r="AJ19" s="21">
        <v>0</v>
      </c>
      <c r="AK19" s="21">
        <v>0</v>
      </c>
      <c r="AL19" s="21">
        <v>0</v>
      </c>
      <c r="AM19" s="21">
        <v>0</v>
      </c>
      <c r="AN19" s="21">
        <v>0</v>
      </c>
      <c r="AO19" s="21">
        <v>0</v>
      </c>
      <c r="AP19" s="21">
        <v>0</v>
      </c>
      <c r="AQ19" s="21">
        <v>0</v>
      </c>
      <c r="AR19" s="21">
        <v>0</v>
      </c>
      <c r="AS19" s="21">
        <v>0</v>
      </c>
      <c r="AT19" s="21">
        <v>0</v>
      </c>
      <c r="AU19" s="21">
        <v>0</v>
      </c>
      <c r="AV19" s="21">
        <v>0</v>
      </c>
      <c r="AW19" s="21">
        <v>0</v>
      </c>
      <c r="AX19" s="21">
        <v>0</v>
      </c>
      <c r="AY19" s="21">
        <v>0</v>
      </c>
      <c r="AZ19" s="22">
        <v>0</v>
      </c>
      <c r="BA19" s="22" t="e">
        <f>MAX(#REF!-AZ19,0)</f>
        <v>#REF!</v>
      </c>
      <c r="BB19" s="23" t="e">
        <f>IF(SUMPRODUCT($J$85:BA$85,$J19:BA19)&lt;0.5, "Pending", IF(BA19&lt;0.5, "Complete", "In Progress"))</f>
        <v>#REF!</v>
      </c>
      <c r="BC19" s="22">
        <v>0</v>
      </c>
      <c r="BD19" s="22" t="e">
        <f t="shared" si="0"/>
        <v>#REF!</v>
      </c>
      <c r="BE19" s="23" t="e">
        <f>IF(SUMPRODUCT($J$85:BD$85,$J19:BD19)&lt;0.5, "Pending", IF(BD19&lt;0.5, "Complete", "In Progress"))</f>
        <v>#REF!</v>
      </c>
      <c r="BF19" s="22">
        <v>0</v>
      </c>
      <c r="BG19" s="22" t="e">
        <f t="shared" si="1"/>
        <v>#REF!</v>
      </c>
      <c r="BH19" s="23" t="e">
        <f>IF(SUMPRODUCT($J$85:BG$85,$J19:BG19)&lt;0.5, "Pending", IF(BG19&lt;0.5, "Complete", "In Progress"))</f>
        <v>#REF!</v>
      </c>
      <c r="BI19" s="22">
        <v>0</v>
      </c>
      <c r="BJ19" s="22" t="e">
        <f t="shared" si="2"/>
        <v>#REF!</v>
      </c>
      <c r="BK19" s="23" t="e">
        <f>IF(SUMPRODUCT($J$85:BJ$85,$J19:BJ19)&lt;0.5, "Pending", IF(BJ19&lt;0.5, "Complete", "In Progress"))</f>
        <v>#REF!</v>
      </c>
      <c r="BL19" s="22">
        <v>0</v>
      </c>
      <c r="BM19" s="22" t="e">
        <f t="shared" si="3"/>
        <v>#REF!</v>
      </c>
      <c r="BN19" s="23" t="e">
        <f>IF(SUMPRODUCT($J$85:BM$85,$J19:BM19)&lt;0.5, "Pending", IF(BM19&lt;0.5, "Complete", "In Progress"))</f>
        <v>#REF!</v>
      </c>
      <c r="BO19" s="22">
        <v>0</v>
      </c>
      <c r="BP19" s="22" t="e">
        <f t="shared" si="4"/>
        <v>#REF!</v>
      </c>
      <c r="BQ19" s="23" t="e">
        <f>IF(SUMPRODUCT($J$85:BP$85,$J19:BP19)&lt;0.5, "Pending", IF(BP19&lt;0.5, "Complete", "In Progress"))</f>
        <v>#REF!</v>
      </c>
      <c r="BR19" s="22">
        <v>0</v>
      </c>
      <c r="BS19" s="22" t="e">
        <f t="shared" si="5"/>
        <v>#REF!</v>
      </c>
      <c r="BT19" s="23" t="e">
        <f>IF(SUMPRODUCT($J$85:BS$85,$J19:BS19)&lt;0.5, "Pending", IF(BS19&lt;0.5, "Complete", "In Progress"))</f>
        <v>#REF!</v>
      </c>
      <c r="BU19" s="22">
        <v>0</v>
      </c>
      <c r="BV19" s="22" t="e">
        <f t="shared" si="6"/>
        <v>#REF!</v>
      </c>
      <c r="BW19" s="23" t="e">
        <f>IF(SUMPRODUCT($J$85:BV$85,$J19:BV19)&lt;0.5, "Pending", IF(BV19&lt;0.5, "Complete", "In Progress"))</f>
        <v>#REF!</v>
      </c>
      <c r="BX19" s="22">
        <v>0</v>
      </c>
      <c r="BY19" s="22" t="e">
        <f t="shared" si="7"/>
        <v>#REF!</v>
      </c>
      <c r="BZ19" s="23" t="e">
        <f>IF(SUMPRODUCT($J$85:BY$85,$J19:BY19)&lt;0.5, "Pending", IF(BY19&lt;0.5, "Complete", "In Progress"))</f>
        <v>#REF!</v>
      </c>
      <c r="CA19" s="22">
        <v>0</v>
      </c>
      <c r="CB19" s="22" t="e">
        <f t="shared" si="8"/>
        <v>#REF!</v>
      </c>
      <c r="CC19" s="23" t="e">
        <f>IF(SUMPRODUCT($J$85:CB$85,$J19:CB19)&lt;0.5, "Pending", IF(CB19&lt;0.5, "Complete", "In Progress"))</f>
        <v>#REF!</v>
      </c>
      <c r="CD19" s="24"/>
      <c r="CE19" s="25">
        <f>SUMPRODUCT($H$85:AY$85,$H19:AY19)</f>
        <v>43</v>
      </c>
    </row>
    <row r="20" spans="1:83" ht="13.8" customHeight="1" x14ac:dyDescent="0.25">
      <c r="A20" s="16" t="s">
        <v>104</v>
      </c>
      <c r="B20" s="16" t="s">
        <v>118</v>
      </c>
      <c r="C20" s="16" t="s">
        <v>501</v>
      </c>
      <c r="D20" s="17" t="s">
        <v>150</v>
      </c>
      <c r="E20" s="158" t="s">
        <v>317</v>
      </c>
      <c r="F20" s="158" t="s">
        <v>498</v>
      </c>
      <c r="G20" s="19"/>
      <c r="H20" s="20">
        <v>1</v>
      </c>
      <c r="I20" s="21">
        <v>6</v>
      </c>
      <c r="J20" s="21">
        <v>0</v>
      </c>
      <c r="K20" s="21">
        <v>0</v>
      </c>
      <c r="L20" s="21">
        <v>0</v>
      </c>
      <c r="M20" s="21">
        <v>0</v>
      </c>
      <c r="N20" s="21">
        <v>0</v>
      </c>
      <c r="O20" s="21">
        <v>0</v>
      </c>
      <c r="P20" s="21">
        <v>0</v>
      </c>
      <c r="Q20" s="21">
        <v>0</v>
      </c>
      <c r="R20" s="21">
        <v>0</v>
      </c>
      <c r="S20" s="21">
        <v>0</v>
      </c>
      <c r="T20" s="21">
        <v>0</v>
      </c>
      <c r="U20" s="21">
        <v>0</v>
      </c>
      <c r="V20" s="21">
        <v>0</v>
      </c>
      <c r="W20" s="21">
        <v>0</v>
      </c>
      <c r="X20" s="21">
        <v>0</v>
      </c>
      <c r="Y20" s="21">
        <v>0</v>
      </c>
      <c r="Z20" s="21">
        <v>0</v>
      </c>
      <c r="AA20" s="21">
        <v>0</v>
      </c>
      <c r="AB20" s="21">
        <v>0</v>
      </c>
      <c r="AC20" s="21">
        <v>0</v>
      </c>
      <c r="AD20" s="21">
        <v>0</v>
      </c>
      <c r="AE20" s="21">
        <v>0</v>
      </c>
      <c r="AF20" s="21">
        <v>0</v>
      </c>
      <c r="AG20" s="21">
        <v>0</v>
      </c>
      <c r="AH20" s="21">
        <v>0</v>
      </c>
      <c r="AI20" s="21">
        <v>0</v>
      </c>
      <c r="AJ20" s="21">
        <v>0</v>
      </c>
      <c r="AK20" s="21">
        <v>0</v>
      </c>
      <c r="AL20" s="21">
        <v>0</v>
      </c>
      <c r="AM20" s="21">
        <v>0</v>
      </c>
      <c r="AN20" s="21">
        <v>0</v>
      </c>
      <c r="AO20" s="21">
        <v>0</v>
      </c>
      <c r="AP20" s="21">
        <v>0</v>
      </c>
      <c r="AQ20" s="21">
        <v>0</v>
      </c>
      <c r="AR20" s="21">
        <v>0</v>
      </c>
      <c r="AS20" s="21">
        <v>0</v>
      </c>
      <c r="AT20" s="21">
        <v>0</v>
      </c>
      <c r="AU20" s="21">
        <v>0</v>
      </c>
      <c r="AV20" s="21">
        <v>0</v>
      </c>
      <c r="AW20" s="21">
        <v>0</v>
      </c>
      <c r="AX20" s="21">
        <v>0</v>
      </c>
      <c r="AY20" s="21">
        <v>0</v>
      </c>
      <c r="AZ20" s="22">
        <v>0</v>
      </c>
      <c r="BA20" s="22" t="e">
        <f>MAX(#REF!-AZ20,0)</f>
        <v>#REF!</v>
      </c>
      <c r="BB20" s="23" t="e">
        <f>IF(SUMPRODUCT($J$85:BA$85,$J20:BA20)&lt;0.5, "Pending", IF(BA20&lt;0.5, "Complete", "In Progress"))</f>
        <v>#REF!</v>
      </c>
      <c r="BC20" s="22">
        <v>0</v>
      </c>
      <c r="BD20" s="22" t="e">
        <f t="shared" si="0"/>
        <v>#REF!</v>
      </c>
      <c r="BE20" s="23" t="e">
        <f>IF(SUMPRODUCT($J$85:BD$85,$J20:BD20)&lt;0.5, "Pending", IF(BD20&lt;0.5, "Complete", "In Progress"))</f>
        <v>#REF!</v>
      </c>
      <c r="BF20" s="22">
        <v>0</v>
      </c>
      <c r="BG20" s="22" t="e">
        <f t="shared" si="1"/>
        <v>#REF!</v>
      </c>
      <c r="BH20" s="23" t="e">
        <f>IF(SUMPRODUCT($J$85:BG$85,$J20:BG20)&lt;0.5, "Pending", IF(BG20&lt;0.5, "Complete", "In Progress"))</f>
        <v>#REF!</v>
      </c>
      <c r="BI20" s="22">
        <v>0</v>
      </c>
      <c r="BJ20" s="22" t="e">
        <f t="shared" si="2"/>
        <v>#REF!</v>
      </c>
      <c r="BK20" s="23" t="e">
        <f>IF(SUMPRODUCT($J$85:BJ$85,$J20:BJ20)&lt;0.5, "Pending", IF(BJ20&lt;0.5, "Complete", "In Progress"))</f>
        <v>#REF!</v>
      </c>
      <c r="BL20" s="22">
        <v>0</v>
      </c>
      <c r="BM20" s="22" t="e">
        <f t="shared" si="3"/>
        <v>#REF!</v>
      </c>
      <c r="BN20" s="23" t="e">
        <f>IF(SUMPRODUCT($J$85:BM$85,$J20:BM20)&lt;0.5, "Pending", IF(BM20&lt;0.5, "Complete", "In Progress"))</f>
        <v>#REF!</v>
      </c>
      <c r="BO20" s="22">
        <v>0</v>
      </c>
      <c r="BP20" s="22" t="e">
        <f t="shared" si="4"/>
        <v>#REF!</v>
      </c>
      <c r="BQ20" s="23" t="e">
        <f>IF(SUMPRODUCT($J$85:BP$85,$J20:BP20)&lt;0.5, "Pending", IF(BP20&lt;0.5, "Complete", "In Progress"))</f>
        <v>#REF!</v>
      </c>
      <c r="BR20" s="22">
        <v>0</v>
      </c>
      <c r="BS20" s="22" t="e">
        <f t="shared" si="5"/>
        <v>#REF!</v>
      </c>
      <c r="BT20" s="23" t="e">
        <f>IF(SUMPRODUCT($J$85:BS$85,$J20:BS20)&lt;0.5, "Pending", IF(BS20&lt;0.5, "Complete", "In Progress"))</f>
        <v>#REF!</v>
      </c>
      <c r="BU20" s="22">
        <v>0</v>
      </c>
      <c r="BV20" s="22" t="e">
        <f t="shared" si="6"/>
        <v>#REF!</v>
      </c>
      <c r="BW20" s="23" t="e">
        <f>IF(SUMPRODUCT($J$85:BV$85,$J20:BV20)&lt;0.5, "Pending", IF(BV20&lt;0.5, "Complete", "In Progress"))</f>
        <v>#REF!</v>
      </c>
      <c r="BX20" s="22">
        <v>0</v>
      </c>
      <c r="BY20" s="22" t="e">
        <f t="shared" si="7"/>
        <v>#REF!</v>
      </c>
      <c r="BZ20" s="23" t="e">
        <f>IF(SUMPRODUCT($J$85:BY$85,$J20:BY20)&lt;0.5, "Pending", IF(BY20&lt;0.5, "Complete", "In Progress"))</f>
        <v>#REF!</v>
      </c>
      <c r="CA20" s="22">
        <v>0</v>
      </c>
      <c r="CB20" s="22" t="e">
        <f t="shared" si="8"/>
        <v>#REF!</v>
      </c>
      <c r="CC20" s="23" t="e">
        <f>IF(SUMPRODUCT($J$85:CB$85,$J20:CB20)&lt;0.5, "Pending", IF(CB20&lt;0.5, "Complete", "In Progress"))</f>
        <v>#REF!</v>
      </c>
      <c r="CD20" s="24"/>
      <c r="CE20" s="25">
        <f>SUMPRODUCT($H$85:AY$85,$H20:AY20)</f>
        <v>43</v>
      </c>
    </row>
    <row r="21" spans="1:83" ht="13.8" customHeight="1" x14ac:dyDescent="0.25">
      <c r="A21" s="16" t="s">
        <v>103</v>
      </c>
      <c r="B21" s="16" t="s">
        <v>110</v>
      </c>
      <c r="C21" s="16" t="s">
        <v>501</v>
      </c>
      <c r="D21" s="17" t="s">
        <v>151</v>
      </c>
      <c r="E21" s="158" t="s">
        <v>318</v>
      </c>
      <c r="F21" s="158" t="s">
        <v>496</v>
      </c>
      <c r="G21" s="19"/>
      <c r="H21" s="20">
        <v>1</v>
      </c>
      <c r="I21" s="21">
        <v>6</v>
      </c>
      <c r="J21" s="21">
        <v>0</v>
      </c>
      <c r="K21" s="21">
        <v>0</v>
      </c>
      <c r="L21" s="21">
        <v>0</v>
      </c>
      <c r="M21" s="21">
        <v>0</v>
      </c>
      <c r="N21" s="21">
        <v>0</v>
      </c>
      <c r="O21" s="21">
        <v>0</v>
      </c>
      <c r="P21" s="21">
        <v>0</v>
      </c>
      <c r="Q21" s="21">
        <v>0</v>
      </c>
      <c r="R21" s="21">
        <v>0</v>
      </c>
      <c r="S21" s="21">
        <v>0</v>
      </c>
      <c r="T21" s="21">
        <v>0</v>
      </c>
      <c r="U21" s="21">
        <v>0</v>
      </c>
      <c r="V21" s="21">
        <v>0</v>
      </c>
      <c r="W21" s="21">
        <v>0</v>
      </c>
      <c r="X21" s="21">
        <v>0</v>
      </c>
      <c r="Y21" s="21">
        <v>0</v>
      </c>
      <c r="Z21" s="21">
        <v>0</v>
      </c>
      <c r="AA21" s="21">
        <v>0</v>
      </c>
      <c r="AB21" s="21">
        <v>0</v>
      </c>
      <c r="AC21" s="21">
        <v>0</v>
      </c>
      <c r="AD21" s="21">
        <v>0</v>
      </c>
      <c r="AE21" s="21">
        <v>0</v>
      </c>
      <c r="AF21" s="21">
        <v>0</v>
      </c>
      <c r="AG21" s="21">
        <v>0</v>
      </c>
      <c r="AH21" s="21">
        <v>0</v>
      </c>
      <c r="AI21" s="21">
        <v>0</v>
      </c>
      <c r="AJ21" s="21">
        <v>0</v>
      </c>
      <c r="AK21" s="21">
        <v>0</v>
      </c>
      <c r="AL21" s="21">
        <v>0</v>
      </c>
      <c r="AM21" s="21">
        <v>0</v>
      </c>
      <c r="AN21" s="21">
        <v>0</v>
      </c>
      <c r="AO21" s="21">
        <v>0</v>
      </c>
      <c r="AP21" s="21">
        <v>0</v>
      </c>
      <c r="AQ21" s="21">
        <v>0</v>
      </c>
      <c r="AR21" s="21">
        <v>0</v>
      </c>
      <c r="AS21" s="21">
        <v>0</v>
      </c>
      <c r="AT21" s="21">
        <v>0</v>
      </c>
      <c r="AU21" s="21">
        <v>0</v>
      </c>
      <c r="AV21" s="21">
        <v>0</v>
      </c>
      <c r="AW21" s="21">
        <v>0</v>
      </c>
      <c r="AX21" s="21">
        <v>0</v>
      </c>
      <c r="AY21" s="21">
        <v>0</v>
      </c>
      <c r="AZ21" s="22">
        <v>0</v>
      </c>
      <c r="BA21" s="22" t="e">
        <f>MAX(#REF!-AZ21,0)</f>
        <v>#REF!</v>
      </c>
      <c r="BB21" s="23" t="e">
        <f>IF(SUMPRODUCT($J$85:BA$85,$J21:BA21)&lt;0.5, "Pending", IF(BA21&lt;0.5, "Complete", "In Progress"))</f>
        <v>#REF!</v>
      </c>
      <c r="BC21" s="22">
        <v>0</v>
      </c>
      <c r="BD21" s="22" t="e">
        <f t="shared" si="0"/>
        <v>#REF!</v>
      </c>
      <c r="BE21" s="23" t="e">
        <f>IF(SUMPRODUCT($J$85:BD$85,$J21:BD21)&lt;0.5, "Pending", IF(BD21&lt;0.5, "Complete", "In Progress"))</f>
        <v>#REF!</v>
      </c>
      <c r="BF21" s="22">
        <v>0</v>
      </c>
      <c r="BG21" s="22" t="e">
        <f t="shared" si="1"/>
        <v>#REF!</v>
      </c>
      <c r="BH21" s="23" t="e">
        <f>IF(SUMPRODUCT($J$85:BG$85,$J21:BG21)&lt;0.5, "Pending", IF(BG21&lt;0.5, "Complete", "In Progress"))</f>
        <v>#REF!</v>
      </c>
      <c r="BI21" s="22">
        <v>0</v>
      </c>
      <c r="BJ21" s="22" t="e">
        <f t="shared" si="2"/>
        <v>#REF!</v>
      </c>
      <c r="BK21" s="23" t="e">
        <f>IF(SUMPRODUCT($J$85:BJ$85,$J21:BJ21)&lt;0.5, "Pending", IF(BJ21&lt;0.5, "Complete", "In Progress"))</f>
        <v>#REF!</v>
      </c>
      <c r="BL21" s="22">
        <v>0</v>
      </c>
      <c r="BM21" s="22" t="e">
        <f t="shared" si="3"/>
        <v>#REF!</v>
      </c>
      <c r="BN21" s="23" t="e">
        <f>IF(SUMPRODUCT($J$85:BM$85,$J21:BM21)&lt;0.5, "Pending", IF(BM21&lt;0.5, "Complete", "In Progress"))</f>
        <v>#REF!</v>
      </c>
      <c r="BO21" s="22">
        <v>0</v>
      </c>
      <c r="BP21" s="22" t="e">
        <f t="shared" si="4"/>
        <v>#REF!</v>
      </c>
      <c r="BQ21" s="23" t="e">
        <f>IF(SUMPRODUCT($J$85:BP$85,$J21:BP21)&lt;0.5, "Pending", IF(BP21&lt;0.5, "Complete", "In Progress"))</f>
        <v>#REF!</v>
      </c>
      <c r="BR21" s="22">
        <v>0</v>
      </c>
      <c r="BS21" s="22" t="e">
        <f t="shared" si="5"/>
        <v>#REF!</v>
      </c>
      <c r="BT21" s="23" t="e">
        <f>IF(SUMPRODUCT($J$85:BS$85,$J21:BS21)&lt;0.5, "Pending", IF(BS21&lt;0.5, "Complete", "In Progress"))</f>
        <v>#REF!</v>
      </c>
      <c r="BU21" s="22">
        <v>0</v>
      </c>
      <c r="BV21" s="22" t="e">
        <f t="shared" si="6"/>
        <v>#REF!</v>
      </c>
      <c r="BW21" s="23" t="e">
        <f>IF(SUMPRODUCT($J$85:BV$85,$J21:BV21)&lt;0.5, "Pending", IF(BV21&lt;0.5, "Complete", "In Progress"))</f>
        <v>#REF!</v>
      </c>
      <c r="BX21" s="22">
        <v>0</v>
      </c>
      <c r="BY21" s="22" t="e">
        <f t="shared" si="7"/>
        <v>#REF!</v>
      </c>
      <c r="BZ21" s="23" t="e">
        <f>IF(SUMPRODUCT($J$85:BY$85,$J21:BY21)&lt;0.5, "Pending", IF(BY21&lt;0.5, "Complete", "In Progress"))</f>
        <v>#REF!</v>
      </c>
      <c r="CA21" s="22">
        <v>0</v>
      </c>
      <c r="CB21" s="22" t="e">
        <f t="shared" si="8"/>
        <v>#REF!</v>
      </c>
      <c r="CC21" s="23" t="e">
        <f>IF(SUMPRODUCT($J$85:CB$85,$J21:CB21)&lt;0.5, "Pending", IF(CB21&lt;0.5, "Complete", "In Progress"))</f>
        <v>#REF!</v>
      </c>
      <c r="CD21" s="24"/>
      <c r="CE21" s="25">
        <f>SUMPRODUCT($H$85:AY$85,$H21:AY21)</f>
        <v>43</v>
      </c>
    </row>
    <row r="22" spans="1:83" ht="13.8" customHeight="1" x14ac:dyDescent="0.25">
      <c r="A22" s="16" t="s">
        <v>103</v>
      </c>
      <c r="B22" s="16" t="s">
        <v>117</v>
      </c>
      <c r="C22" s="16" t="s">
        <v>501</v>
      </c>
      <c r="D22" s="17" t="s">
        <v>152</v>
      </c>
      <c r="E22" s="158" t="s">
        <v>319</v>
      </c>
      <c r="F22" s="158" t="s">
        <v>495</v>
      </c>
      <c r="G22" s="169"/>
      <c r="H22" s="20">
        <v>1</v>
      </c>
      <c r="I22" s="21">
        <v>6</v>
      </c>
      <c r="J22" s="21">
        <v>0</v>
      </c>
      <c r="K22" s="21">
        <v>0</v>
      </c>
      <c r="L22" s="21">
        <v>0</v>
      </c>
      <c r="M22" s="21">
        <v>0</v>
      </c>
      <c r="N22" s="21">
        <v>0</v>
      </c>
      <c r="O22" s="21">
        <v>0</v>
      </c>
      <c r="P22" s="21">
        <v>0</v>
      </c>
      <c r="Q22" s="21">
        <v>0</v>
      </c>
      <c r="R22" s="21">
        <v>0</v>
      </c>
      <c r="S22" s="21">
        <v>0</v>
      </c>
      <c r="T22" s="21">
        <v>0</v>
      </c>
      <c r="U22" s="21">
        <v>0</v>
      </c>
      <c r="V22" s="21">
        <v>0</v>
      </c>
      <c r="W22" s="21">
        <v>0</v>
      </c>
      <c r="X22" s="21">
        <v>0</v>
      </c>
      <c r="Y22" s="21">
        <v>0</v>
      </c>
      <c r="Z22" s="21">
        <v>0</v>
      </c>
      <c r="AA22" s="21">
        <v>0</v>
      </c>
      <c r="AB22" s="21">
        <v>0</v>
      </c>
      <c r="AC22" s="21">
        <v>0</v>
      </c>
      <c r="AD22" s="21">
        <v>0</v>
      </c>
      <c r="AE22" s="21">
        <v>0</v>
      </c>
      <c r="AF22" s="21">
        <v>0</v>
      </c>
      <c r="AG22" s="21">
        <v>0</v>
      </c>
      <c r="AH22" s="21">
        <v>0</v>
      </c>
      <c r="AI22" s="21">
        <v>0</v>
      </c>
      <c r="AJ22" s="21">
        <v>0</v>
      </c>
      <c r="AK22" s="21">
        <v>0</v>
      </c>
      <c r="AL22" s="21">
        <v>0</v>
      </c>
      <c r="AM22" s="21">
        <v>0</v>
      </c>
      <c r="AN22" s="21">
        <v>0</v>
      </c>
      <c r="AO22" s="21">
        <v>0</v>
      </c>
      <c r="AP22" s="21">
        <v>0</v>
      </c>
      <c r="AQ22" s="21">
        <v>0</v>
      </c>
      <c r="AR22" s="21">
        <v>0</v>
      </c>
      <c r="AS22" s="21">
        <v>0</v>
      </c>
      <c r="AT22" s="21">
        <v>0</v>
      </c>
      <c r="AU22" s="21">
        <v>0</v>
      </c>
      <c r="AV22" s="21">
        <v>0</v>
      </c>
      <c r="AW22" s="21">
        <v>0</v>
      </c>
      <c r="AX22" s="21">
        <v>0</v>
      </c>
      <c r="AY22" s="21">
        <v>0</v>
      </c>
      <c r="AZ22" s="22">
        <v>0</v>
      </c>
      <c r="BA22" s="22" t="e">
        <f>MAX(#REF!-AZ22,0)</f>
        <v>#REF!</v>
      </c>
      <c r="BB22" s="23" t="e">
        <f>IF(SUMPRODUCT($J$85:BA$85,$J22:BA22)&lt;0.5, "Pending", IF(BA22&lt;0.5, "Complete", "In Progress"))</f>
        <v>#REF!</v>
      </c>
      <c r="BC22" s="22">
        <v>0</v>
      </c>
      <c r="BD22" s="22" t="e">
        <f t="shared" si="0"/>
        <v>#REF!</v>
      </c>
      <c r="BE22" s="23" t="e">
        <f>IF(SUMPRODUCT($J$85:BD$85,$J22:BD22)&lt;0.5, "Pending", IF(BD22&lt;0.5, "Complete", "In Progress"))</f>
        <v>#REF!</v>
      </c>
      <c r="BF22" s="22">
        <v>0</v>
      </c>
      <c r="BG22" s="22" t="e">
        <f t="shared" si="1"/>
        <v>#REF!</v>
      </c>
      <c r="BH22" s="23" t="e">
        <f>IF(SUMPRODUCT($J$85:BG$85,$J22:BG22)&lt;0.5, "Pending", IF(BG22&lt;0.5, "Complete", "In Progress"))</f>
        <v>#REF!</v>
      </c>
      <c r="BI22" s="22">
        <v>0</v>
      </c>
      <c r="BJ22" s="22" t="e">
        <f t="shared" si="2"/>
        <v>#REF!</v>
      </c>
      <c r="BK22" s="23" t="e">
        <f>IF(SUMPRODUCT($J$85:BJ$85,$J22:BJ22)&lt;0.5, "Pending", IF(BJ22&lt;0.5, "Complete", "In Progress"))</f>
        <v>#REF!</v>
      </c>
      <c r="BL22" s="22">
        <v>0</v>
      </c>
      <c r="BM22" s="22" t="e">
        <f t="shared" si="3"/>
        <v>#REF!</v>
      </c>
      <c r="BN22" s="23" t="e">
        <f>IF(SUMPRODUCT($J$85:BM$85,$J22:BM22)&lt;0.5, "Pending", IF(BM22&lt;0.5, "Complete", "In Progress"))</f>
        <v>#REF!</v>
      </c>
      <c r="BO22" s="22">
        <v>0</v>
      </c>
      <c r="BP22" s="22" t="e">
        <f t="shared" si="4"/>
        <v>#REF!</v>
      </c>
      <c r="BQ22" s="23" t="e">
        <f>IF(SUMPRODUCT($J$85:BP$85,$J22:BP22)&lt;0.5, "Pending", IF(BP22&lt;0.5, "Complete", "In Progress"))</f>
        <v>#REF!</v>
      </c>
      <c r="BR22" s="22">
        <v>0</v>
      </c>
      <c r="BS22" s="22" t="e">
        <f t="shared" si="5"/>
        <v>#REF!</v>
      </c>
      <c r="BT22" s="23" t="e">
        <f>IF(SUMPRODUCT($J$85:BS$85,$J22:BS22)&lt;0.5, "Pending", IF(BS22&lt;0.5, "Complete", "In Progress"))</f>
        <v>#REF!</v>
      </c>
      <c r="BU22" s="22">
        <v>0</v>
      </c>
      <c r="BV22" s="22" t="e">
        <f t="shared" si="6"/>
        <v>#REF!</v>
      </c>
      <c r="BW22" s="23" t="e">
        <f>IF(SUMPRODUCT($J$85:BV$85,$J22:BV22)&lt;0.5, "Pending", IF(BV22&lt;0.5, "Complete", "In Progress"))</f>
        <v>#REF!</v>
      </c>
      <c r="BX22" s="22">
        <v>0</v>
      </c>
      <c r="BY22" s="22" t="e">
        <f t="shared" si="7"/>
        <v>#REF!</v>
      </c>
      <c r="BZ22" s="23" t="e">
        <f>IF(SUMPRODUCT($J$85:BY$85,$J22:BY22)&lt;0.5, "Pending", IF(BY22&lt;0.5, "Complete", "In Progress"))</f>
        <v>#REF!</v>
      </c>
      <c r="CA22" s="22">
        <v>0</v>
      </c>
      <c r="CB22" s="22" t="e">
        <f t="shared" si="8"/>
        <v>#REF!</v>
      </c>
      <c r="CC22" s="23" t="e">
        <f>IF(SUMPRODUCT($J$85:CB$85,$J22:CB22)&lt;0.5, "Pending", IF(CB22&lt;0.5, "Complete", "In Progress"))</f>
        <v>#REF!</v>
      </c>
      <c r="CD22" s="24"/>
      <c r="CE22" s="25">
        <f>SUMPRODUCT($H$85:AY$85,$H22:AY22)</f>
        <v>43</v>
      </c>
    </row>
    <row r="23" spans="1:83" ht="13.8" customHeight="1" x14ac:dyDescent="0.25">
      <c r="A23" s="16" t="s">
        <v>103</v>
      </c>
      <c r="B23" s="16" t="s">
        <v>108</v>
      </c>
      <c r="C23" s="16" t="s">
        <v>501</v>
      </c>
      <c r="D23" s="17" t="s">
        <v>153</v>
      </c>
      <c r="E23" s="158" t="s">
        <v>320</v>
      </c>
      <c r="F23" s="158" t="s">
        <v>493</v>
      </c>
      <c r="G23" s="168"/>
      <c r="H23" s="20">
        <v>1</v>
      </c>
      <c r="I23" s="21">
        <v>56</v>
      </c>
      <c r="J23" s="21">
        <v>0</v>
      </c>
      <c r="K23" s="21">
        <v>0</v>
      </c>
      <c r="L23" s="21">
        <v>0</v>
      </c>
      <c r="M23" s="21">
        <v>0</v>
      </c>
      <c r="N23" s="21">
        <v>0</v>
      </c>
      <c r="O23" s="21">
        <v>0</v>
      </c>
      <c r="P23" s="21">
        <v>0</v>
      </c>
      <c r="Q23" s="21">
        <v>0</v>
      </c>
      <c r="R23" s="21">
        <v>0</v>
      </c>
      <c r="S23" s="21">
        <v>0</v>
      </c>
      <c r="T23" s="21">
        <v>0</v>
      </c>
      <c r="U23" s="21">
        <v>0</v>
      </c>
      <c r="V23" s="21">
        <v>0</v>
      </c>
      <c r="W23" s="21">
        <v>0</v>
      </c>
      <c r="X23" s="21">
        <v>0</v>
      </c>
      <c r="Y23" s="21">
        <v>0</v>
      </c>
      <c r="Z23" s="21">
        <v>0</v>
      </c>
      <c r="AA23" s="21">
        <v>0</v>
      </c>
      <c r="AB23" s="21">
        <v>0</v>
      </c>
      <c r="AC23" s="21">
        <v>0</v>
      </c>
      <c r="AD23" s="21">
        <v>0</v>
      </c>
      <c r="AE23" s="21">
        <v>0</v>
      </c>
      <c r="AF23" s="21">
        <v>0</v>
      </c>
      <c r="AG23" s="21">
        <v>0</v>
      </c>
      <c r="AH23" s="21">
        <v>0</v>
      </c>
      <c r="AI23" s="21">
        <v>0</v>
      </c>
      <c r="AJ23" s="21">
        <v>0</v>
      </c>
      <c r="AK23" s="21">
        <v>0</v>
      </c>
      <c r="AL23" s="21">
        <v>0</v>
      </c>
      <c r="AM23" s="21">
        <v>0</v>
      </c>
      <c r="AN23" s="21">
        <v>0</v>
      </c>
      <c r="AO23" s="21">
        <v>0</v>
      </c>
      <c r="AP23" s="21">
        <v>0</v>
      </c>
      <c r="AQ23" s="21">
        <v>0</v>
      </c>
      <c r="AR23" s="21">
        <v>0</v>
      </c>
      <c r="AS23" s="21">
        <v>0</v>
      </c>
      <c r="AT23" s="21">
        <v>0</v>
      </c>
      <c r="AU23" s="21">
        <v>0</v>
      </c>
      <c r="AV23" s="21">
        <v>0</v>
      </c>
      <c r="AW23" s="21">
        <v>0</v>
      </c>
      <c r="AX23" s="21">
        <v>0</v>
      </c>
      <c r="AY23" s="21">
        <v>0</v>
      </c>
      <c r="AZ23" s="22">
        <v>0</v>
      </c>
      <c r="BA23" s="22" t="e">
        <f>MAX(#REF!-AZ23,0)</f>
        <v>#REF!</v>
      </c>
      <c r="BB23" s="23" t="e">
        <f>IF(SUMPRODUCT($J$85:BA$85,$J23:BA23)&lt;0.5, "Pending", IF(BA23&lt;0.5, "Complete", "In Progress"))</f>
        <v>#REF!</v>
      </c>
      <c r="BC23" s="22">
        <v>0</v>
      </c>
      <c r="BD23" s="22" t="e">
        <f t="shared" si="0"/>
        <v>#REF!</v>
      </c>
      <c r="BE23" s="23" t="e">
        <f>IF(SUMPRODUCT($J$85:BD$85,$J23:BD23)&lt;0.5, "Pending", IF(BD23&lt;0.5, "Complete", "In Progress"))</f>
        <v>#REF!</v>
      </c>
      <c r="BF23" s="22">
        <v>0</v>
      </c>
      <c r="BG23" s="22" t="e">
        <f t="shared" si="1"/>
        <v>#REF!</v>
      </c>
      <c r="BH23" s="23" t="e">
        <f>IF(SUMPRODUCT($J$85:BG$85,$J23:BG23)&lt;0.5, "Pending", IF(BG23&lt;0.5, "Complete", "In Progress"))</f>
        <v>#REF!</v>
      </c>
      <c r="BI23" s="22">
        <v>0</v>
      </c>
      <c r="BJ23" s="22" t="e">
        <f t="shared" si="2"/>
        <v>#REF!</v>
      </c>
      <c r="BK23" s="23" t="e">
        <f>IF(SUMPRODUCT($J$85:BJ$85,$J23:BJ23)&lt;0.5, "Pending", IF(BJ23&lt;0.5, "Complete", "In Progress"))</f>
        <v>#REF!</v>
      </c>
      <c r="BL23" s="22">
        <v>0</v>
      </c>
      <c r="BM23" s="22" t="e">
        <f t="shared" si="3"/>
        <v>#REF!</v>
      </c>
      <c r="BN23" s="23" t="e">
        <f>IF(SUMPRODUCT($J$85:BM$85,$J23:BM23)&lt;0.5, "Pending", IF(BM23&lt;0.5, "Complete", "In Progress"))</f>
        <v>#REF!</v>
      </c>
      <c r="BO23" s="22">
        <v>0</v>
      </c>
      <c r="BP23" s="22" t="e">
        <f t="shared" si="4"/>
        <v>#REF!</v>
      </c>
      <c r="BQ23" s="23" t="e">
        <f>IF(SUMPRODUCT($J$85:BP$85,$J23:BP23)&lt;0.5, "Pending", IF(BP23&lt;0.5, "Complete", "In Progress"))</f>
        <v>#REF!</v>
      </c>
      <c r="BR23" s="22">
        <v>0</v>
      </c>
      <c r="BS23" s="22" t="e">
        <f t="shared" si="5"/>
        <v>#REF!</v>
      </c>
      <c r="BT23" s="23" t="e">
        <f>IF(SUMPRODUCT($J$85:BS$85,$J23:BS23)&lt;0.5, "Pending", IF(BS23&lt;0.5, "Complete", "In Progress"))</f>
        <v>#REF!</v>
      </c>
      <c r="BU23" s="22">
        <v>0</v>
      </c>
      <c r="BV23" s="22" t="e">
        <f t="shared" si="6"/>
        <v>#REF!</v>
      </c>
      <c r="BW23" s="23" t="e">
        <f>IF(SUMPRODUCT($J$85:BV$85,$J23:BV23)&lt;0.5, "Pending", IF(BV23&lt;0.5, "Complete", "In Progress"))</f>
        <v>#REF!</v>
      </c>
      <c r="BX23" s="22">
        <v>0</v>
      </c>
      <c r="BY23" s="22" t="e">
        <f t="shared" si="7"/>
        <v>#REF!</v>
      </c>
      <c r="BZ23" s="23" t="e">
        <f>IF(SUMPRODUCT($J$85:BY$85,$J23:BY23)&lt;0.5, "Pending", IF(BY23&lt;0.5, "Complete", "In Progress"))</f>
        <v>#REF!</v>
      </c>
      <c r="CA23" s="22">
        <v>0</v>
      </c>
      <c r="CB23" s="22" t="e">
        <f t="shared" si="8"/>
        <v>#REF!</v>
      </c>
      <c r="CC23" s="23" t="e">
        <f>IF(SUMPRODUCT($J$85:CB$85,$J23:CB23)&lt;0.5, "Pending", IF(CB23&lt;0.5, "Complete", "In Progress"))</f>
        <v>#REF!</v>
      </c>
      <c r="CD23" s="24"/>
      <c r="CE23" s="25">
        <f>SUMPRODUCT($H$85:AY$85,$H23:AY23)</f>
        <v>393</v>
      </c>
    </row>
    <row r="24" spans="1:83" ht="13.8" customHeight="1" x14ac:dyDescent="0.25">
      <c r="A24" s="16" t="s">
        <v>103</v>
      </c>
      <c r="B24" s="16" t="s">
        <v>110</v>
      </c>
      <c r="C24" s="16" t="s">
        <v>134</v>
      </c>
      <c r="D24" s="17">
        <v>2</v>
      </c>
      <c r="E24" s="158" t="s">
        <v>321</v>
      </c>
      <c r="F24" s="158" t="s">
        <v>494</v>
      </c>
      <c r="G24" s="19"/>
      <c r="H24" s="20">
        <v>1</v>
      </c>
      <c r="I24" s="21">
        <v>6</v>
      </c>
      <c r="J24" s="21">
        <v>0</v>
      </c>
      <c r="K24" s="21">
        <v>0</v>
      </c>
      <c r="L24" s="21">
        <v>0</v>
      </c>
      <c r="M24" s="21">
        <v>0</v>
      </c>
      <c r="N24" s="21">
        <v>0</v>
      </c>
      <c r="O24" s="21">
        <v>0</v>
      </c>
      <c r="P24" s="21">
        <v>0</v>
      </c>
      <c r="Q24" s="21">
        <v>0</v>
      </c>
      <c r="R24" s="21">
        <v>0</v>
      </c>
      <c r="S24" s="21">
        <v>0</v>
      </c>
      <c r="T24" s="21">
        <v>0</v>
      </c>
      <c r="U24" s="21">
        <v>0</v>
      </c>
      <c r="V24" s="21">
        <v>0</v>
      </c>
      <c r="W24" s="21">
        <v>0</v>
      </c>
      <c r="X24" s="21">
        <v>0</v>
      </c>
      <c r="Y24" s="21">
        <v>0</v>
      </c>
      <c r="Z24" s="21">
        <v>0</v>
      </c>
      <c r="AA24" s="21">
        <v>0</v>
      </c>
      <c r="AB24" s="21">
        <v>0</v>
      </c>
      <c r="AC24" s="21">
        <v>0</v>
      </c>
      <c r="AD24" s="21">
        <v>0</v>
      </c>
      <c r="AE24" s="21">
        <v>0</v>
      </c>
      <c r="AF24" s="21">
        <v>0</v>
      </c>
      <c r="AG24" s="21">
        <v>0</v>
      </c>
      <c r="AH24" s="21">
        <v>0</v>
      </c>
      <c r="AI24" s="21">
        <v>0</v>
      </c>
      <c r="AJ24" s="21">
        <v>0</v>
      </c>
      <c r="AK24" s="21">
        <v>0</v>
      </c>
      <c r="AL24" s="21">
        <v>0</v>
      </c>
      <c r="AM24" s="21">
        <v>0</v>
      </c>
      <c r="AN24" s="21">
        <v>0</v>
      </c>
      <c r="AO24" s="21">
        <v>0</v>
      </c>
      <c r="AP24" s="21">
        <v>0</v>
      </c>
      <c r="AQ24" s="21">
        <v>0</v>
      </c>
      <c r="AR24" s="21">
        <v>0</v>
      </c>
      <c r="AS24" s="21">
        <v>0</v>
      </c>
      <c r="AT24" s="21">
        <v>0</v>
      </c>
      <c r="AU24" s="21">
        <v>0</v>
      </c>
      <c r="AV24" s="21">
        <v>0</v>
      </c>
      <c r="AW24" s="21">
        <v>0</v>
      </c>
      <c r="AX24" s="21">
        <v>0</v>
      </c>
      <c r="AY24" s="21">
        <v>0</v>
      </c>
      <c r="AZ24" s="22">
        <v>0</v>
      </c>
      <c r="BA24" s="22" t="e">
        <f>MAX(#REF!-AZ24,0)</f>
        <v>#REF!</v>
      </c>
      <c r="BB24" s="23" t="e">
        <f>IF(SUMPRODUCT($J$85:BA$85,$J24:BA24)&lt;0.5, "Pending", IF(BA24&lt;0.5, "Complete", "In Progress"))</f>
        <v>#REF!</v>
      </c>
      <c r="BC24" s="22">
        <v>0</v>
      </c>
      <c r="BD24" s="22" t="e">
        <f t="shared" si="0"/>
        <v>#REF!</v>
      </c>
      <c r="BE24" s="23" t="e">
        <f>IF(SUMPRODUCT($J$85:BD$85,$J24:BD24)&lt;0.5, "Pending", IF(BD24&lt;0.5, "Complete", "In Progress"))</f>
        <v>#REF!</v>
      </c>
      <c r="BF24" s="22">
        <v>0</v>
      </c>
      <c r="BG24" s="22" t="e">
        <f t="shared" si="1"/>
        <v>#REF!</v>
      </c>
      <c r="BH24" s="23" t="e">
        <f>IF(SUMPRODUCT($J$85:BG$85,$J24:BG24)&lt;0.5, "Pending", IF(BG24&lt;0.5, "Complete", "In Progress"))</f>
        <v>#REF!</v>
      </c>
      <c r="BI24" s="22">
        <v>0</v>
      </c>
      <c r="BJ24" s="22" t="e">
        <f t="shared" si="2"/>
        <v>#REF!</v>
      </c>
      <c r="BK24" s="23" t="e">
        <f>IF(SUMPRODUCT($J$85:BJ$85,$J24:BJ24)&lt;0.5, "Pending", IF(BJ24&lt;0.5, "Complete", "In Progress"))</f>
        <v>#REF!</v>
      </c>
      <c r="BL24" s="22">
        <v>0</v>
      </c>
      <c r="BM24" s="22" t="e">
        <f t="shared" si="3"/>
        <v>#REF!</v>
      </c>
      <c r="BN24" s="23" t="e">
        <f>IF(SUMPRODUCT($J$85:BM$85,$J24:BM24)&lt;0.5, "Pending", IF(BM24&lt;0.5, "Complete", "In Progress"))</f>
        <v>#REF!</v>
      </c>
      <c r="BO24" s="22">
        <v>0</v>
      </c>
      <c r="BP24" s="22" t="e">
        <f t="shared" si="4"/>
        <v>#REF!</v>
      </c>
      <c r="BQ24" s="23" t="e">
        <f>IF(SUMPRODUCT($J$85:BP$85,$J24:BP24)&lt;0.5, "Pending", IF(BP24&lt;0.5, "Complete", "In Progress"))</f>
        <v>#REF!</v>
      </c>
      <c r="BR24" s="22">
        <v>0</v>
      </c>
      <c r="BS24" s="22" t="e">
        <f t="shared" si="5"/>
        <v>#REF!</v>
      </c>
      <c r="BT24" s="23" t="e">
        <f>IF(SUMPRODUCT($J$85:BS$85,$J24:BS24)&lt;0.5, "Pending", IF(BS24&lt;0.5, "Complete", "In Progress"))</f>
        <v>#REF!</v>
      </c>
      <c r="BU24" s="22">
        <v>0</v>
      </c>
      <c r="BV24" s="22" t="e">
        <f t="shared" si="6"/>
        <v>#REF!</v>
      </c>
      <c r="BW24" s="23" t="e">
        <f>IF(SUMPRODUCT($J$85:BV$85,$J24:BV24)&lt;0.5, "Pending", IF(BV24&lt;0.5, "Complete", "In Progress"))</f>
        <v>#REF!</v>
      </c>
      <c r="BX24" s="22">
        <v>0</v>
      </c>
      <c r="BY24" s="22" t="e">
        <f t="shared" si="7"/>
        <v>#REF!</v>
      </c>
      <c r="BZ24" s="23" t="e">
        <f>IF(SUMPRODUCT($J$85:BY$85,$J24:BY24)&lt;0.5, "Pending", IF(BY24&lt;0.5, "Complete", "In Progress"))</f>
        <v>#REF!</v>
      </c>
      <c r="CA24" s="22">
        <v>0</v>
      </c>
      <c r="CB24" s="22" t="e">
        <f t="shared" si="8"/>
        <v>#REF!</v>
      </c>
      <c r="CC24" s="23" t="e">
        <f>IF(SUMPRODUCT($J$85:CB$85,$J24:CB24)&lt;0.5, "Pending", IF(CB24&lt;0.5, "Complete", "In Progress"))</f>
        <v>#REF!</v>
      </c>
      <c r="CD24" s="24"/>
      <c r="CE24" s="25">
        <f>SUMPRODUCT($H$85:AY$85,$H24:AY24)</f>
        <v>43</v>
      </c>
    </row>
    <row r="25" spans="1:83" ht="13.8" customHeight="1" x14ac:dyDescent="0.25">
      <c r="A25" s="16" t="s">
        <v>103</v>
      </c>
      <c r="B25" s="16" t="s">
        <v>110</v>
      </c>
      <c r="C25" s="16" t="s">
        <v>134</v>
      </c>
      <c r="D25" s="17">
        <v>2.1</v>
      </c>
      <c r="E25" s="158" t="s">
        <v>322</v>
      </c>
      <c r="F25" s="158" t="s">
        <v>497</v>
      </c>
      <c r="G25" s="19"/>
      <c r="H25" s="20">
        <v>1</v>
      </c>
      <c r="I25" s="21">
        <v>6</v>
      </c>
      <c r="J25" s="21">
        <v>0</v>
      </c>
      <c r="K25" s="21">
        <v>0</v>
      </c>
      <c r="L25" s="21">
        <v>0</v>
      </c>
      <c r="M25" s="21">
        <v>0</v>
      </c>
      <c r="N25" s="21">
        <v>0</v>
      </c>
      <c r="O25" s="21">
        <v>0</v>
      </c>
      <c r="P25" s="21">
        <v>0</v>
      </c>
      <c r="Q25" s="21">
        <v>0</v>
      </c>
      <c r="R25" s="21">
        <v>0</v>
      </c>
      <c r="S25" s="21">
        <v>0</v>
      </c>
      <c r="T25" s="21">
        <v>0</v>
      </c>
      <c r="U25" s="21">
        <v>0</v>
      </c>
      <c r="V25" s="21">
        <v>0</v>
      </c>
      <c r="W25" s="21">
        <v>0</v>
      </c>
      <c r="X25" s="21">
        <v>0</v>
      </c>
      <c r="Y25" s="21">
        <v>0</v>
      </c>
      <c r="Z25" s="21">
        <v>0</v>
      </c>
      <c r="AA25" s="21">
        <v>0</v>
      </c>
      <c r="AB25" s="21">
        <v>0</v>
      </c>
      <c r="AC25" s="21">
        <v>0</v>
      </c>
      <c r="AD25" s="21">
        <v>0</v>
      </c>
      <c r="AE25" s="21">
        <v>0</v>
      </c>
      <c r="AF25" s="21">
        <v>0</v>
      </c>
      <c r="AG25" s="21">
        <v>0</v>
      </c>
      <c r="AH25" s="21">
        <v>0</v>
      </c>
      <c r="AI25" s="21">
        <v>0</v>
      </c>
      <c r="AJ25" s="21">
        <v>0</v>
      </c>
      <c r="AK25" s="21">
        <v>0</v>
      </c>
      <c r="AL25" s="21">
        <v>0</v>
      </c>
      <c r="AM25" s="21">
        <v>0</v>
      </c>
      <c r="AN25" s="21">
        <v>0</v>
      </c>
      <c r="AO25" s="21">
        <v>0</v>
      </c>
      <c r="AP25" s="21">
        <v>0</v>
      </c>
      <c r="AQ25" s="21">
        <v>0</v>
      </c>
      <c r="AR25" s="21">
        <v>0</v>
      </c>
      <c r="AS25" s="21">
        <v>0</v>
      </c>
      <c r="AT25" s="21">
        <v>0</v>
      </c>
      <c r="AU25" s="21">
        <v>0</v>
      </c>
      <c r="AV25" s="21">
        <v>0</v>
      </c>
      <c r="AW25" s="21">
        <v>0</v>
      </c>
      <c r="AX25" s="21">
        <v>0</v>
      </c>
      <c r="AY25" s="21">
        <v>0</v>
      </c>
      <c r="AZ25" s="22">
        <v>0</v>
      </c>
      <c r="BA25" s="22" t="e">
        <f>MAX(#REF!-AZ25,0)</f>
        <v>#REF!</v>
      </c>
      <c r="BB25" s="23" t="e">
        <f>IF(SUMPRODUCT($J$85:BA$85,$J25:BA25)&lt;0.5, "Pending", IF(BA25&lt;0.5, "Complete", "In Progress"))</f>
        <v>#REF!</v>
      </c>
      <c r="BC25" s="22">
        <v>0</v>
      </c>
      <c r="BD25" s="22" t="e">
        <f t="shared" si="0"/>
        <v>#REF!</v>
      </c>
      <c r="BE25" s="23" t="e">
        <f>IF(SUMPRODUCT($J$85:BD$85,$J25:BD25)&lt;0.5, "Pending", IF(BD25&lt;0.5, "Complete", "In Progress"))</f>
        <v>#REF!</v>
      </c>
      <c r="BF25" s="22">
        <v>0</v>
      </c>
      <c r="BG25" s="22" t="e">
        <f t="shared" si="1"/>
        <v>#REF!</v>
      </c>
      <c r="BH25" s="23" t="e">
        <f>IF(SUMPRODUCT($J$85:BG$85,$J25:BG25)&lt;0.5, "Pending", IF(BG25&lt;0.5, "Complete", "In Progress"))</f>
        <v>#REF!</v>
      </c>
      <c r="BI25" s="22">
        <v>0</v>
      </c>
      <c r="BJ25" s="22" t="e">
        <f t="shared" si="2"/>
        <v>#REF!</v>
      </c>
      <c r="BK25" s="23" t="e">
        <f>IF(SUMPRODUCT($J$85:BJ$85,$J25:BJ25)&lt;0.5, "Pending", IF(BJ25&lt;0.5, "Complete", "In Progress"))</f>
        <v>#REF!</v>
      </c>
      <c r="BL25" s="22">
        <v>0</v>
      </c>
      <c r="BM25" s="22" t="e">
        <f t="shared" si="3"/>
        <v>#REF!</v>
      </c>
      <c r="BN25" s="23" t="e">
        <f>IF(SUMPRODUCT($J$85:BM$85,$J25:BM25)&lt;0.5, "Pending", IF(BM25&lt;0.5, "Complete", "In Progress"))</f>
        <v>#REF!</v>
      </c>
      <c r="BO25" s="22">
        <v>0</v>
      </c>
      <c r="BP25" s="22" t="e">
        <f t="shared" si="4"/>
        <v>#REF!</v>
      </c>
      <c r="BQ25" s="23" t="e">
        <f>IF(SUMPRODUCT($J$85:BP$85,$J25:BP25)&lt;0.5, "Pending", IF(BP25&lt;0.5, "Complete", "In Progress"))</f>
        <v>#REF!</v>
      </c>
      <c r="BR25" s="22">
        <v>0</v>
      </c>
      <c r="BS25" s="22" t="e">
        <f t="shared" si="5"/>
        <v>#REF!</v>
      </c>
      <c r="BT25" s="23" t="e">
        <f>IF(SUMPRODUCT($J$85:BS$85,$J25:BS25)&lt;0.5, "Pending", IF(BS25&lt;0.5, "Complete", "In Progress"))</f>
        <v>#REF!</v>
      </c>
      <c r="BU25" s="22">
        <v>0</v>
      </c>
      <c r="BV25" s="22" t="e">
        <f t="shared" si="6"/>
        <v>#REF!</v>
      </c>
      <c r="BW25" s="23" t="e">
        <f>IF(SUMPRODUCT($J$85:BV$85,$J25:BV25)&lt;0.5, "Pending", IF(BV25&lt;0.5, "Complete", "In Progress"))</f>
        <v>#REF!</v>
      </c>
      <c r="BX25" s="22">
        <v>0</v>
      </c>
      <c r="BY25" s="22" t="e">
        <f t="shared" si="7"/>
        <v>#REF!</v>
      </c>
      <c r="BZ25" s="23" t="e">
        <f>IF(SUMPRODUCT($J$85:BY$85,$J25:BY25)&lt;0.5, "Pending", IF(BY25&lt;0.5, "Complete", "In Progress"))</f>
        <v>#REF!</v>
      </c>
      <c r="CA25" s="22">
        <v>0</v>
      </c>
      <c r="CB25" s="22" t="e">
        <f t="shared" si="8"/>
        <v>#REF!</v>
      </c>
      <c r="CC25" s="23" t="e">
        <f>IF(SUMPRODUCT($J$85:CB$85,$J25:CB25)&lt;0.5, "Pending", IF(CB25&lt;0.5, "Complete", "In Progress"))</f>
        <v>#REF!</v>
      </c>
      <c r="CD25" s="24"/>
      <c r="CE25" s="25">
        <f>SUMPRODUCT($H$85:AY$85,$H25:AY25)</f>
        <v>43</v>
      </c>
    </row>
    <row r="26" spans="1:83" ht="13.8" customHeight="1" x14ac:dyDescent="0.25">
      <c r="A26" s="16" t="s">
        <v>103</v>
      </c>
      <c r="B26" s="16" t="s">
        <v>109</v>
      </c>
      <c r="C26" s="16" t="s">
        <v>502</v>
      </c>
      <c r="D26" s="17" t="s">
        <v>154</v>
      </c>
      <c r="E26" s="158" t="s">
        <v>323</v>
      </c>
      <c r="F26" s="158" t="s">
        <v>498</v>
      </c>
      <c r="G26" s="19"/>
      <c r="H26" s="20">
        <v>1</v>
      </c>
      <c r="I26" s="21">
        <v>6</v>
      </c>
      <c r="J26" s="21">
        <v>0</v>
      </c>
      <c r="K26" s="21">
        <v>0</v>
      </c>
      <c r="L26" s="21">
        <v>0</v>
      </c>
      <c r="M26" s="21">
        <v>0</v>
      </c>
      <c r="N26" s="21">
        <v>0</v>
      </c>
      <c r="O26" s="21">
        <v>0</v>
      </c>
      <c r="P26" s="21">
        <v>0</v>
      </c>
      <c r="Q26" s="21">
        <v>0</v>
      </c>
      <c r="R26" s="21">
        <v>0</v>
      </c>
      <c r="S26" s="21">
        <v>0</v>
      </c>
      <c r="T26" s="21">
        <v>0</v>
      </c>
      <c r="U26" s="21">
        <v>0</v>
      </c>
      <c r="V26" s="21">
        <v>0</v>
      </c>
      <c r="W26" s="21">
        <v>0</v>
      </c>
      <c r="X26" s="21">
        <v>0</v>
      </c>
      <c r="Y26" s="21">
        <v>0</v>
      </c>
      <c r="Z26" s="21">
        <v>0</v>
      </c>
      <c r="AA26" s="21">
        <v>0</v>
      </c>
      <c r="AB26" s="21">
        <v>0</v>
      </c>
      <c r="AC26" s="21">
        <v>0</v>
      </c>
      <c r="AD26" s="21">
        <v>0</v>
      </c>
      <c r="AE26" s="21">
        <v>0</v>
      </c>
      <c r="AF26" s="21">
        <v>0</v>
      </c>
      <c r="AG26" s="21">
        <v>0</v>
      </c>
      <c r="AH26" s="21">
        <v>0</v>
      </c>
      <c r="AI26" s="21">
        <v>0</v>
      </c>
      <c r="AJ26" s="21">
        <v>0</v>
      </c>
      <c r="AK26" s="21">
        <v>0</v>
      </c>
      <c r="AL26" s="21">
        <v>0</v>
      </c>
      <c r="AM26" s="21">
        <v>0</v>
      </c>
      <c r="AN26" s="21">
        <v>0</v>
      </c>
      <c r="AO26" s="21">
        <v>0</v>
      </c>
      <c r="AP26" s="21">
        <v>0</v>
      </c>
      <c r="AQ26" s="21">
        <v>0</v>
      </c>
      <c r="AR26" s="21">
        <v>0</v>
      </c>
      <c r="AS26" s="21">
        <v>0</v>
      </c>
      <c r="AT26" s="21">
        <v>0</v>
      </c>
      <c r="AU26" s="21">
        <v>0</v>
      </c>
      <c r="AV26" s="21">
        <v>0</v>
      </c>
      <c r="AW26" s="21">
        <v>0</v>
      </c>
      <c r="AX26" s="21">
        <v>0</v>
      </c>
      <c r="AY26" s="21">
        <v>0</v>
      </c>
      <c r="AZ26" s="22">
        <v>0</v>
      </c>
      <c r="BA26" s="22" t="e">
        <f>MAX(#REF!-AZ26,0)</f>
        <v>#REF!</v>
      </c>
      <c r="BB26" s="23" t="e">
        <f>IF(SUMPRODUCT($J$85:BA$85,$J26:BA26)&lt;0.5, "Pending", IF(BA26&lt;0.5, "Complete", "In Progress"))</f>
        <v>#REF!</v>
      </c>
      <c r="BC26" s="22">
        <v>0</v>
      </c>
      <c r="BD26" s="22" t="e">
        <f t="shared" si="0"/>
        <v>#REF!</v>
      </c>
      <c r="BE26" s="23" t="e">
        <f>IF(SUMPRODUCT($J$85:BD$85,$J26:BD26)&lt;0.5, "Pending", IF(BD26&lt;0.5, "Complete", "In Progress"))</f>
        <v>#REF!</v>
      </c>
      <c r="BF26" s="22">
        <v>0</v>
      </c>
      <c r="BG26" s="22" t="e">
        <f t="shared" si="1"/>
        <v>#REF!</v>
      </c>
      <c r="BH26" s="23" t="e">
        <f>IF(SUMPRODUCT($J$85:BG$85,$J26:BG26)&lt;0.5, "Pending", IF(BG26&lt;0.5, "Complete", "In Progress"))</f>
        <v>#REF!</v>
      </c>
      <c r="BI26" s="22">
        <v>0</v>
      </c>
      <c r="BJ26" s="22" t="e">
        <f t="shared" si="2"/>
        <v>#REF!</v>
      </c>
      <c r="BK26" s="23" t="e">
        <f>IF(SUMPRODUCT($J$85:BJ$85,$J26:BJ26)&lt;0.5, "Pending", IF(BJ26&lt;0.5, "Complete", "In Progress"))</f>
        <v>#REF!</v>
      </c>
      <c r="BL26" s="22">
        <v>0</v>
      </c>
      <c r="BM26" s="22" t="e">
        <f t="shared" si="3"/>
        <v>#REF!</v>
      </c>
      <c r="BN26" s="23" t="e">
        <f>IF(SUMPRODUCT($J$85:BM$85,$J26:BM26)&lt;0.5, "Pending", IF(BM26&lt;0.5, "Complete", "In Progress"))</f>
        <v>#REF!</v>
      </c>
      <c r="BO26" s="22">
        <v>0</v>
      </c>
      <c r="BP26" s="22" t="e">
        <f t="shared" si="4"/>
        <v>#REF!</v>
      </c>
      <c r="BQ26" s="23" t="e">
        <f>IF(SUMPRODUCT($J$85:BP$85,$J26:BP26)&lt;0.5, "Pending", IF(BP26&lt;0.5, "Complete", "In Progress"))</f>
        <v>#REF!</v>
      </c>
      <c r="BR26" s="22">
        <v>0</v>
      </c>
      <c r="BS26" s="22" t="e">
        <f t="shared" si="5"/>
        <v>#REF!</v>
      </c>
      <c r="BT26" s="23" t="e">
        <f>IF(SUMPRODUCT($J$85:BS$85,$J26:BS26)&lt;0.5, "Pending", IF(BS26&lt;0.5, "Complete", "In Progress"))</f>
        <v>#REF!</v>
      </c>
      <c r="BU26" s="22">
        <v>0</v>
      </c>
      <c r="BV26" s="22" t="e">
        <f t="shared" si="6"/>
        <v>#REF!</v>
      </c>
      <c r="BW26" s="23" t="e">
        <f>IF(SUMPRODUCT($J$85:BV$85,$J26:BV26)&lt;0.5, "Pending", IF(BV26&lt;0.5, "Complete", "In Progress"))</f>
        <v>#REF!</v>
      </c>
      <c r="BX26" s="22">
        <v>0</v>
      </c>
      <c r="BY26" s="22" t="e">
        <f t="shared" si="7"/>
        <v>#REF!</v>
      </c>
      <c r="BZ26" s="23" t="e">
        <f>IF(SUMPRODUCT($J$85:BY$85,$J26:BY26)&lt;0.5, "Pending", IF(BY26&lt;0.5, "Complete", "In Progress"))</f>
        <v>#REF!</v>
      </c>
      <c r="CA26" s="22">
        <v>0</v>
      </c>
      <c r="CB26" s="22" t="e">
        <f t="shared" si="8"/>
        <v>#REF!</v>
      </c>
      <c r="CC26" s="23" t="e">
        <f>IF(SUMPRODUCT($J$85:CB$85,$J26:CB26)&lt;0.5, "Pending", IF(CB26&lt;0.5, "Complete", "In Progress"))</f>
        <v>#REF!</v>
      </c>
      <c r="CD26" s="24"/>
      <c r="CE26" s="25">
        <f>SUMPRODUCT($H$85:AY$85,$H26:AY26)</f>
        <v>43</v>
      </c>
    </row>
    <row r="27" spans="1:83" ht="13.8" customHeight="1" x14ac:dyDescent="0.25">
      <c r="A27" s="16" t="s">
        <v>103</v>
      </c>
      <c r="B27" s="16" t="s">
        <v>109</v>
      </c>
      <c r="C27" s="16" t="s">
        <v>502</v>
      </c>
      <c r="D27" s="17" t="s">
        <v>155</v>
      </c>
      <c r="E27" s="158" t="s">
        <v>324</v>
      </c>
      <c r="F27" s="158" t="s">
        <v>496</v>
      </c>
      <c r="G27" s="19"/>
      <c r="H27" s="20">
        <v>1</v>
      </c>
      <c r="I27" s="21">
        <v>6</v>
      </c>
      <c r="J27" s="21">
        <v>0</v>
      </c>
      <c r="K27" s="21">
        <v>0</v>
      </c>
      <c r="L27" s="21">
        <v>0</v>
      </c>
      <c r="M27" s="21">
        <v>0</v>
      </c>
      <c r="N27" s="21">
        <v>0</v>
      </c>
      <c r="O27" s="21">
        <v>0</v>
      </c>
      <c r="P27" s="21">
        <v>0</v>
      </c>
      <c r="Q27" s="21">
        <v>0</v>
      </c>
      <c r="R27" s="21">
        <v>0</v>
      </c>
      <c r="S27" s="21">
        <v>0</v>
      </c>
      <c r="T27" s="21">
        <v>0</v>
      </c>
      <c r="U27" s="21">
        <v>0</v>
      </c>
      <c r="V27" s="21">
        <v>0</v>
      </c>
      <c r="W27" s="21">
        <v>0</v>
      </c>
      <c r="X27" s="21">
        <v>0</v>
      </c>
      <c r="Y27" s="21">
        <v>0</v>
      </c>
      <c r="Z27" s="21">
        <v>0</v>
      </c>
      <c r="AA27" s="21">
        <v>0</v>
      </c>
      <c r="AB27" s="21">
        <v>0</v>
      </c>
      <c r="AC27" s="21">
        <v>0</v>
      </c>
      <c r="AD27" s="21">
        <v>0</v>
      </c>
      <c r="AE27" s="21">
        <v>0</v>
      </c>
      <c r="AF27" s="21">
        <v>0</v>
      </c>
      <c r="AG27" s="21">
        <v>0</v>
      </c>
      <c r="AH27" s="21">
        <v>0</v>
      </c>
      <c r="AI27" s="21">
        <v>0</v>
      </c>
      <c r="AJ27" s="21">
        <v>0</v>
      </c>
      <c r="AK27" s="21">
        <v>0</v>
      </c>
      <c r="AL27" s="21">
        <v>0</v>
      </c>
      <c r="AM27" s="21">
        <v>0</v>
      </c>
      <c r="AN27" s="21">
        <v>0</v>
      </c>
      <c r="AO27" s="21">
        <v>0</v>
      </c>
      <c r="AP27" s="21">
        <v>0</v>
      </c>
      <c r="AQ27" s="21">
        <v>0</v>
      </c>
      <c r="AR27" s="21">
        <v>0</v>
      </c>
      <c r="AS27" s="21">
        <v>0</v>
      </c>
      <c r="AT27" s="21">
        <v>0</v>
      </c>
      <c r="AU27" s="21">
        <v>0</v>
      </c>
      <c r="AV27" s="21">
        <v>0</v>
      </c>
      <c r="AW27" s="21">
        <v>0</v>
      </c>
      <c r="AX27" s="21">
        <v>0</v>
      </c>
      <c r="AY27" s="21">
        <v>0</v>
      </c>
      <c r="AZ27" s="22">
        <v>0</v>
      </c>
      <c r="BA27" s="22" t="e">
        <f>MAX(#REF!-AZ27,0)</f>
        <v>#REF!</v>
      </c>
      <c r="BB27" s="23" t="e">
        <f>IF(SUMPRODUCT($J$85:BA$85,$J27:BA27)&lt;0.5, "Pending", IF(BA27&lt;0.5, "Complete", "In Progress"))</f>
        <v>#REF!</v>
      </c>
      <c r="BC27" s="22">
        <v>0</v>
      </c>
      <c r="BD27" s="22" t="e">
        <f t="shared" si="0"/>
        <v>#REF!</v>
      </c>
      <c r="BE27" s="23" t="e">
        <f>IF(SUMPRODUCT($J$85:BD$85,$J27:BD27)&lt;0.5, "Pending", IF(BD27&lt;0.5, "Complete", "In Progress"))</f>
        <v>#REF!</v>
      </c>
      <c r="BF27" s="22">
        <v>0</v>
      </c>
      <c r="BG27" s="22" t="e">
        <f t="shared" si="1"/>
        <v>#REF!</v>
      </c>
      <c r="BH27" s="23" t="e">
        <f>IF(SUMPRODUCT($J$85:BG$85,$J27:BG27)&lt;0.5, "Pending", IF(BG27&lt;0.5, "Complete", "In Progress"))</f>
        <v>#REF!</v>
      </c>
      <c r="BI27" s="22">
        <v>0</v>
      </c>
      <c r="BJ27" s="22" t="e">
        <f t="shared" si="2"/>
        <v>#REF!</v>
      </c>
      <c r="BK27" s="23" t="e">
        <f>IF(SUMPRODUCT($J$85:BJ$85,$J27:BJ27)&lt;0.5, "Pending", IF(BJ27&lt;0.5, "Complete", "In Progress"))</f>
        <v>#REF!</v>
      </c>
      <c r="BL27" s="22">
        <v>0</v>
      </c>
      <c r="BM27" s="22" t="e">
        <f t="shared" si="3"/>
        <v>#REF!</v>
      </c>
      <c r="BN27" s="23" t="e">
        <f>IF(SUMPRODUCT($J$85:BM$85,$J27:BM27)&lt;0.5, "Pending", IF(BM27&lt;0.5, "Complete", "In Progress"))</f>
        <v>#REF!</v>
      </c>
      <c r="BO27" s="22">
        <v>0</v>
      </c>
      <c r="BP27" s="22" t="e">
        <f t="shared" si="4"/>
        <v>#REF!</v>
      </c>
      <c r="BQ27" s="23" t="e">
        <f>IF(SUMPRODUCT($J$85:BP$85,$J27:BP27)&lt;0.5, "Pending", IF(BP27&lt;0.5, "Complete", "In Progress"))</f>
        <v>#REF!</v>
      </c>
      <c r="BR27" s="22">
        <v>0</v>
      </c>
      <c r="BS27" s="22" t="e">
        <f t="shared" si="5"/>
        <v>#REF!</v>
      </c>
      <c r="BT27" s="23" t="e">
        <f>IF(SUMPRODUCT($J$85:BS$85,$J27:BS27)&lt;0.5, "Pending", IF(BS27&lt;0.5, "Complete", "In Progress"))</f>
        <v>#REF!</v>
      </c>
      <c r="BU27" s="22">
        <v>0</v>
      </c>
      <c r="BV27" s="22" t="e">
        <f t="shared" si="6"/>
        <v>#REF!</v>
      </c>
      <c r="BW27" s="23" t="e">
        <f>IF(SUMPRODUCT($J$85:BV$85,$J27:BV27)&lt;0.5, "Pending", IF(BV27&lt;0.5, "Complete", "In Progress"))</f>
        <v>#REF!</v>
      </c>
      <c r="BX27" s="22">
        <v>0</v>
      </c>
      <c r="BY27" s="22" t="e">
        <f t="shared" si="7"/>
        <v>#REF!</v>
      </c>
      <c r="BZ27" s="23" t="e">
        <f>IF(SUMPRODUCT($J$85:BY$85,$J27:BY27)&lt;0.5, "Pending", IF(BY27&lt;0.5, "Complete", "In Progress"))</f>
        <v>#REF!</v>
      </c>
      <c r="CA27" s="22">
        <v>0</v>
      </c>
      <c r="CB27" s="22" t="e">
        <f t="shared" si="8"/>
        <v>#REF!</v>
      </c>
      <c r="CC27" s="23" t="e">
        <f>IF(SUMPRODUCT($J$85:CB$85,$J27:CB27)&lt;0.5, "Pending", IF(CB27&lt;0.5, "Complete", "In Progress"))</f>
        <v>#REF!</v>
      </c>
      <c r="CD27" s="24"/>
      <c r="CE27" s="25">
        <f>SUMPRODUCT($H$85:AY$85,$H27:AY27)</f>
        <v>43</v>
      </c>
    </row>
    <row r="28" spans="1:83" ht="13.8" customHeight="1" x14ac:dyDescent="0.25">
      <c r="A28" s="16" t="s">
        <v>103</v>
      </c>
      <c r="B28" s="16" t="s">
        <v>110</v>
      </c>
      <c r="C28" s="16" t="s">
        <v>502</v>
      </c>
      <c r="D28" s="17" t="s">
        <v>156</v>
      </c>
      <c r="E28" s="158" t="s">
        <v>325</v>
      </c>
      <c r="F28" s="158" t="s">
        <v>495</v>
      </c>
      <c r="G28" s="169"/>
      <c r="H28" s="20">
        <v>1</v>
      </c>
      <c r="I28" s="21">
        <v>7</v>
      </c>
      <c r="J28" s="21">
        <v>0</v>
      </c>
      <c r="K28" s="21">
        <v>0</v>
      </c>
      <c r="L28" s="21">
        <v>0</v>
      </c>
      <c r="M28" s="21">
        <v>0</v>
      </c>
      <c r="N28" s="21">
        <v>0</v>
      </c>
      <c r="O28" s="21">
        <v>0</v>
      </c>
      <c r="P28" s="21">
        <v>0</v>
      </c>
      <c r="Q28" s="21">
        <v>0</v>
      </c>
      <c r="R28" s="21">
        <v>0</v>
      </c>
      <c r="S28" s="21">
        <v>0</v>
      </c>
      <c r="T28" s="21">
        <v>0</v>
      </c>
      <c r="U28" s="21">
        <v>0</v>
      </c>
      <c r="V28" s="21">
        <v>0</v>
      </c>
      <c r="W28" s="21">
        <v>0</v>
      </c>
      <c r="X28" s="21">
        <v>0</v>
      </c>
      <c r="Y28" s="21">
        <v>0</v>
      </c>
      <c r="Z28" s="21">
        <v>0</v>
      </c>
      <c r="AA28" s="21">
        <v>0</v>
      </c>
      <c r="AB28" s="21">
        <v>0</v>
      </c>
      <c r="AC28" s="21">
        <v>0</v>
      </c>
      <c r="AD28" s="21">
        <v>0</v>
      </c>
      <c r="AE28" s="21">
        <v>0</v>
      </c>
      <c r="AF28" s="21">
        <v>0</v>
      </c>
      <c r="AG28" s="21">
        <v>0</v>
      </c>
      <c r="AH28" s="21">
        <v>0</v>
      </c>
      <c r="AI28" s="21">
        <v>0</v>
      </c>
      <c r="AJ28" s="21">
        <v>0</v>
      </c>
      <c r="AK28" s="21">
        <v>0</v>
      </c>
      <c r="AL28" s="21">
        <v>0</v>
      </c>
      <c r="AM28" s="21">
        <v>0</v>
      </c>
      <c r="AN28" s="21">
        <v>0</v>
      </c>
      <c r="AO28" s="21">
        <v>0</v>
      </c>
      <c r="AP28" s="21">
        <v>0</v>
      </c>
      <c r="AQ28" s="21">
        <v>0</v>
      </c>
      <c r="AR28" s="21">
        <v>0</v>
      </c>
      <c r="AS28" s="21">
        <v>0</v>
      </c>
      <c r="AT28" s="21">
        <v>0</v>
      </c>
      <c r="AU28" s="21">
        <v>0</v>
      </c>
      <c r="AV28" s="21">
        <v>0</v>
      </c>
      <c r="AW28" s="21">
        <v>0</v>
      </c>
      <c r="AX28" s="21">
        <v>0</v>
      </c>
      <c r="AY28" s="21">
        <v>0</v>
      </c>
      <c r="AZ28" s="22">
        <v>0</v>
      </c>
      <c r="BA28" s="22" t="e">
        <f>MAX(#REF!-AZ28,0)</f>
        <v>#REF!</v>
      </c>
      <c r="BB28" s="23" t="e">
        <f>IF(SUMPRODUCT($J$85:BA$85,$J28:BA28)&lt;0.5, "Pending", IF(BA28&lt;0.5, "Complete", "In Progress"))</f>
        <v>#REF!</v>
      </c>
      <c r="BC28" s="22">
        <v>0</v>
      </c>
      <c r="BD28" s="22" t="e">
        <f t="shared" si="0"/>
        <v>#REF!</v>
      </c>
      <c r="BE28" s="23" t="e">
        <f>IF(SUMPRODUCT($J$85:BD$85,$J28:BD28)&lt;0.5, "Pending", IF(BD28&lt;0.5, "Complete", "In Progress"))</f>
        <v>#REF!</v>
      </c>
      <c r="BF28" s="22">
        <v>0</v>
      </c>
      <c r="BG28" s="22" t="e">
        <f t="shared" si="1"/>
        <v>#REF!</v>
      </c>
      <c r="BH28" s="23" t="e">
        <f>IF(SUMPRODUCT($J$85:BG$85,$J28:BG28)&lt;0.5, "Pending", IF(BG28&lt;0.5, "Complete", "In Progress"))</f>
        <v>#REF!</v>
      </c>
      <c r="BI28" s="22">
        <v>0</v>
      </c>
      <c r="BJ28" s="22" t="e">
        <f t="shared" si="2"/>
        <v>#REF!</v>
      </c>
      <c r="BK28" s="23" t="e">
        <f>IF(SUMPRODUCT($J$85:BJ$85,$J28:BJ28)&lt;0.5, "Pending", IF(BJ28&lt;0.5, "Complete", "In Progress"))</f>
        <v>#REF!</v>
      </c>
      <c r="BL28" s="22">
        <v>0</v>
      </c>
      <c r="BM28" s="22" t="e">
        <f t="shared" si="3"/>
        <v>#REF!</v>
      </c>
      <c r="BN28" s="23" t="e">
        <f>IF(SUMPRODUCT($J$85:BM$85,$J28:BM28)&lt;0.5, "Pending", IF(BM28&lt;0.5, "Complete", "In Progress"))</f>
        <v>#REF!</v>
      </c>
      <c r="BO28" s="22">
        <v>0</v>
      </c>
      <c r="BP28" s="22" t="e">
        <f t="shared" si="4"/>
        <v>#REF!</v>
      </c>
      <c r="BQ28" s="23" t="e">
        <f>IF(SUMPRODUCT($J$85:BP$85,$J28:BP28)&lt;0.5, "Pending", IF(BP28&lt;0.5, "Complete", "In Progress"))</f>
        <v>#REF!</v>
      </c>
      <c r="BR28" s="22">
        <v>0</v>
      </c>
      <c r="BS28" s="22" t="e">
        <f t="shared" si="5"/>
        <v>#REF!</v>
      </c>
      <c r="BT28" s="23" t="e">
        <f>IF(SUMPRODUCT($J$85:BS$85,$J28:BS28)&lt;0.5, "Pending", IF(BS28&lt;0.5, "Complete", "In Progress"))</f>
        <v>#REF!</v>
      </c>
      <c r="BU28" s="22">
        <v>0</v>
      </c>
      <c r="BV28" s="22" t="e">
        <f t="shared" si="6"/>
        <v>#REF!</v>
      </c>
      <c r="BW28" s="23" t="e">
        <f>IF(SUMPRODUCT($J$85:BV$85,$J28:BV28)&lt;0.5, "Pending", IF(BV28&lt;0.5, "Complete", "In Progress"))</f>
        <v>#REF!</v>
      </c>
      <c r="BX28" s="22">
        <v>0</v>
      </c>
      <c r="BY28" s="22" t="e">
        <f t="shared" si="7"/>
        <v>#REF!</v>
      </c>
      <c r="BZ28" s="23" t="e">
        <f>IF(SUMPRODUCT($J$85:BY$85,$J28:BY28)&lt;0.5, "Pending", IF(BY28&lt;0.5, "Complete", "In Progress"))</f>
        <v>#REF!</v>
      </c>
      <c r="CA28" s="22">
        <v>0</v>
      </c>
      <c r="CB28" s="22" t="e">
        <f t="shared" si="8"/>
        <v>#REF!</v>
      </c>
      <c r="CC28" s="23" t="e">
        <f>IF(SUMPRODUCT($J$85:CB$85,$J28:CB28)&lt;0.5, "Pending", IF(CB28&lt;0.5, "Complete", "In Progress"))</f>
        <v>#REF!</v>
      </c>
      <c r="CD28" s="24"/>
      <c r="CE28" s="25">
        <f>SUMPRODUCT($H$85:AY$85,$H28:AY28)</f>
        <v>50</v>
      </c>
    </row>
    <row r="29" spans="1:83" ht="13.8" customHeight="1" x14ac:dyDescent="0.25">
      <c r="A29" s="16" t="s">
        <v>104</v>
      </c>
      <c r="B29" s="16" t="s">
        <v>118</v>
      </c>
      <c r="C29" s="16" t="s">
        <v>502</v>
      </c>
      <c r="D29" s="17" t="s">
        <v>157</v>
      </c>
      <c r="E29" s="158" t="s">
        <v>326</v>
      </c>
      <c r="F29" s="158" t="s">
        <v>493</v>
      </c>
      <c r="G29" s="168"/>
      <c r="H29" s="20">
        <v>1</v>
      </c>
      <c r="I29" s="21">
        <v>56</v>
      </c>
      <c r="J29" s="21">
        <v>0</v>
      </c>
      <c r="K29" s="21">
        <v>0</v>
      </c>
      <c r="L29" s="21">
        <v>0</v>
      </c>
      <c r="M29" s="21">
        <v>0</v>
      </c>
      <c r="N29" s="21">
        <v>0</v>
      </c>
      <c r="O29" s="21">
        <v>0</v>
      </c>
      <c r="P29" s="21">
        <v>0</v>
      </c>
      <c r="Q29" s="21">
        <v>0</v>
      </c>
      <c r="R29" s="21">
        <v>0</v>
      </c>
      <c r="S29" s="21">
        <v>0</v>
      </c>
      <c r="T29" s="21">
        <v>0</v>
      </c>
      <c r="U29" s="21">
        <v>0</v>
      </c>
      <c r="V29" s="21">
        <v>0</v>
      </c>
      <c r="W29" s="21">
        <v>0</v>
      </c>
      <c r="X29" s="21">
        <v>0</v>
      </c>
      <c r="Y29" s="21">
        <v>0</v>
      </c>
      <c r="Z29" s="21">
        <v>0</v>
      </c>
      <c r="AA29" s="21">
        <v>0</v>
      </c>
      <c r="AB29" s="21">
        <v>0</v>
      </c>
      <c r="AC29" s="21">
        <v>0</v>
      </c>
      <c r="AD29" s="21">
        <v>0</v>
      </c>
      <c r="AE29" s="21">
        <v>0</v>
      </c>
      <c r="AF29" s="21">
        <v>0</v>
      </c>
      <c r="AG29" s="21">
        <v>0</v>
      </c>
      <c r="AH29" s="21">
        <v>0</v>
      </c>
      <c r="AI29" s="21">
        <v>0</v>
      </c>
      <c r="AJ29" s="21">
        <v>0</v>
      </c>
      <c r="AK29" s="21">
        <v>0</v>
      </c>
      <c r="AL29" s="21">
        <v>0</v>
      </c>
      <c r="AM29" s="21">
        <v>0</v>
      </c>
      <c r="AN29" s="21">
        <v>0</v>
      </c>
      <c r="AO29" s="21">
        <v>0</v>
      </c>
      <c r="AP29" s="21">
        <v>0</v>
      </c>
      <c r="AQ29" s="21">
        <v>0</v>
      </c>
      <c r="AR29" s="21">
        <v>0</v>
      </c>
      <c r="AS29" s="21">
        <v>0</v>
      </c>
      <c r="AT29" s="21">
        <v>0</v>
      </c>
      <c r="AU29" s="21">
        <v>0</v>
      </c>
      <c r="AV29" s="21">
        <v>0</v>
      </c>
      <c r="AW29" s="21">
        <v>0</v>
      </c>
      <c r="AX29" s="21">
        <v>0</v>
      </c>
      <c r="AY29" s="21">
        <v>0</v>
      </c>
      <c r="AZ29" s="22">
        <v>0</v>
      </c>
      <c r="BA29" s="22" t="e">
        <f>MAX(#REF!-AZ29,0)</f>
        <v>#REF!</v>
      </c>
      <c r="BB29" s="23" t="e">
        <f>IF(SUMPRODUCT($J$85:BA$85,$J29:BA29)&lt;0.5, "Pending", IF(BA29&lt;0.5, "Complete", "In Progress"))</f>
        <v>#REF!</v>
      </c>
      <c r="BC29" s="22">
        <v>0</v>
      </c>
      <c r="BD29" s="22" t="e">
        <f t="shared" si="0"/>
        <v>#REF!</v>
      </c>
      <c r="BE29" s="23" t="e">
        <f>IF(SUMPRODUCT($J$85:BD$85,$J29:BD29)&lt;0.5, "Pending", IF(BD29&lt;0.5, "Complete", "In Progress"))</f>
        <v>#REF!</v>
      </c>
      <c r="BF29" s="22">
        <v>0</v>
      </c>
      <c r="BG29" s="22" t="e">
        <f t="shared" si="1"/>
        <v>#REF!</v>
      </c>
      <c r="BH29" s="23" t="e">
        <f>IF(SUMPRODUCT($J$85:BG$85,$J29:BG29)&lt;0.5, "Pending", IF(BG29&lt;0.5, "Complete", "In Progress"))</f>
        <v>#REF!</v>
      </c>
      <c r="BI29" s="22">
        <v>0</v>
      </c>
      <c r="BJ29" s="22" t="e">
        <f t="shared" si="2"/>
        <v>#REF!</v>
      </c>
      <c r="BK29" s="23" t="e">
        <f>IF(SUMPRODUCT($J$85:BJ$85,$J29:BJ29)&lt;0.5, "Pending", IF(BJ29&lt;0.5, "Complete", "In Progress"))</f>
        <v>#REF!</v>
      </c>
      <c r="BL29" s="22">
        <v>0</v>
      </c>
      <c r="BM29" s="22" t="e">
        <f t="shared" si="3"/>
        <v>#REF!</v>
      </c>
      <c r="BN29" s="23" t="e">
        <f>IF(SUMPRODUCT($J$85:BM$85,$J29:BM29)&lt;0.5, "Pending", IF(BM29&lt;0.5, "Complete", "In Progress"))</f>
        <v>#REF!</v>
      </c>
      <c r="BO29" s="22">
        <v>0</v>
      </c>
      <c r="BP29" s="22" t="e">
        <f t="shared" si="4"/>
        <v>#REF!</v>
      </c>
      <c r="BQ29" s="23" t="e">
        <f>IF(SUMPRODUCT($J$85:BP$85,$J29:BP29)&lt;0.5, "Pending", IF(BP29&lt;0.5, "Complete", "In Progress"))</f>
        <v>#REF!</v>
      </c>
      <c r="BR29" s="22">
        <v>0</v>
      </c>
      <c r="BS29" s="22" t="e">
        <f t="shared" si="5"/>
        <v>#REF!</v>
      </c>
      <c r="BT29" s="23" t="e">
        <f>IF(SUMPRODUCT($J$85:BS$85,$J29:BS29)&lt;0.5, "Pending", IF(BS29&lt;0.5, "Complete", "In Progress"))</f>
        <v>#REF!</v>
      </c>
      <c r="BU29" s="22">
        <v>0</v>
      </c>
      <c r="BV29" s="22" t="e">
        <f t="shared" si="6"/>
        <v>#REF!</v>
      </c>
      <c r="BW29" s="23" t="e">
        <f>IF(SUMPRODUCT($J$85:BV$85,$J29:BV29)&lt;0.5, "Pending", IF(BV29&lt;0.5, "Complete", "In Progress"))</f>
        <v>#REF!</v>
      </c>
      <c r="BX29" s="22">
        <v>0</v>
      </c>
      <c r="BY29" s="22" t="e">
        <f t="shared" si="7"/>
        <v>#REF!</v>
      </c>
      <c r="BZ29" s="23" t="e">
        <f>IF(SUMPRODUCT($J$85:BY$85,$J29:BY29)&lt;0.5, "Pending", IF(BY29&lt;0.5, "Complete", "In Progress"))</f>
        <v>#REF!</v>
      </c>
      <c r="CA29" s="22">
        <v>0</v>
      </c>
      <c r="CB29" s="22" t="e">
        <f t="shared" si="8"/>
        <v>#REF!</v>
      </c>
      <c r="CC29" s="23" t="e">
        <f>IF(SUMPRODUCT($J$85:CB$85,$J29:CB29)&lt;0.5, "Pending", IF(CB29&lt;0.5, "Complete", "In Progress"))</f>
        <v>#REF!</v>
      </c>
      <c r="CD29" s="24"/>
      <c r="CE29" s="25">
        <f>SUMPRODUCT($H$85:AY$85,$H29:AY29)</f>
        <v>393</v>
      </c>
    </row>
    <row r="30" spans="1:83" ht="13.8" customHeight="1" x14ac:dyDescent="0.25">
      <c r="A30" s="16" t="s">
        <v>103</v>
      </c>
      <c r="B30" s="16" t="s">
        <v>117</v>
      </c>
      <c r="C30" s="16" t="s">
        <v>502</v>
      </c>
      <c r="D30" s="17" t="s">
        <v>158</v>
      </c>
      <c r="E30" s="158" t="s">
        <v>319</v>
      </c>
      <c r="F30" s="158" t="s">
        <v>494</v>
      </c>
      <c r="G30" s="19"/>
      <c r="H30" s="20">
        <v>1</v>
      </c>
      <c r="I30" s="21">
        <v>7</v>
      </c>
      <c r="J30" s="21">
        <v>0</v>
      </c>
      <c r="K30" s="21">
        <v>0</v>
      </c>
      <c r="L30" s="21">
        <v>0</v>
      </c>
      <c r="M30" s="21">
        <v>0</v>
      </c>
      <c r="N30" s="21">
        <v>0</v>
      </c>
      <c r="O30" s="21">
        <v>0</v>
      </c>
      <c r="P30" s="21">
        <v>0</v>
      </c>
      <c r="Q30" s="21">
        <v>0</v>
      </c>
      <c r="R30" s="21">
        <v>0</v>
      </c>
      <c r="S30" s="21">
        <v>0</v>
      </c>
      <c r="T30" s="21">
        <v>0</v>
      </c>
      <c r="U30" s="21">
        <v>0</v>
      </c>
      <c r="V30" s="21">
        <v>0</v>
      </c>
      <c r="W30" s="21">
        <v>0</v>
      </c>
      <c r="X30" s="21">
        <v>0</v>
      </c>
      <c r="Y30" s="21">
        <v>0</v>
      </c>
      <c r="Z30" s="21">
        <v>0</v>
      </c>
      <c r="AA30" s="21">
        <v>0</v>
      </c>
      <c r="AB30" s="21">
        <v>0</v>
      </c>
      <c r="AC30" s="21">
        <v>0</v>
      </c>
      <c r="AD30" s="21">
        <v>0</v>
      </c>
      <c r="AE30" s="21">
        <v>0</v>
      </c>
      <c r="AF30" s="21">
        <v>0</v>
      </c>
      <c r="AG30" s="21">
        <v>0</v>
      </c>
      <c r="AH30" s="21">
        <v>0</v>
      </c>
      <c r="AI30" s="21">
        <v>0</v>
      </c>
      <c r="AJ30" s="21">
        <v>0</v>
      </c>
      <c r="AK30" s="21">
        <v>0</v>
      </c>
      <c r="AL30" s="21">
        <v>0</v>
      </c>
      <c r="AM30" s="21">
        <v>0</v>
      </c>
      <c r="AN30" s="21">
        <v>0</v>
      </c>
      <c r="AO30" s="21">
        <v>0</v>
      </c>
      <c r="AP30" s="21">
        <v>0</v>
      </c>
      <c r="AQ30" s="21">
        <v>0</v>
      </c>
      <c r="AR30" s="21">
        <v>0</v>
      </c>
      <c r="AS30" s="21">
        <v>0</v>
      </c>
      <c r="AT30" s="21">
        <v>0</v>
      </c>
      <c r="AU30" s="21">
        <v>0</v>
      </c>
      <c r="AV30" s="21">
        <v>0</v>
      </c>
      <c r="AW30" s="21">
        <v>0</v>
      </c>
      <c r="AX30" s="21">
        <v>0</v>
      </c>
      <c r="AY30" s="21">
        <v>0</v>
      </c>
      <c r="AZ30" s="22">
        <v>0</v>
      </c>
      <c r="BA30" s="22" t="e">
        <f>MAX(#REF!-AZ30,0)</f>
        <v>#REF!</v>
      </c>
      <c r="BB30" s="23" t="e">
        <f>IF(SUMPRODUCT($J$85:BA$85,$J30:BA30)&lt;0.5, "Pending", IF(BA30&lt;0.5, "Complete", "In Progress"))</f>
        <v>#REF!</v>
      </c>
      <c r="BC30" s="22">
        <v>0</v>
      </c>
      <c r="BD30" s="22" t="e">
        <f t="shared" si="0"/>
        <v>#REF!</v>
      </c>
      <c r="BE30" s="23" t="e">
        <f>IF(SUMPRODUCT($J$85:BD$85,$J30:BD30)&lt;0.5, "Pending", IF(BD30&lt;0.5, "Complete", "In Progress"))</f>
        <v>#REF!</v>
      </c>
      <c r="BF30" s="22">
        <v>0</v>
      </c>
      <c r="BG30" s="22" t="e">
        <f t="shared" si="1"/>
        <v>#REF!</v>
      </c>
      <c r="BH30" s="23" t="e">
        <f>IF(SUMPRODUCT($J$85:BG$85,$J30:BG30)&lt;0.5, "Pending", IF(BG30&lt;0.5, "Complete", "In Progress"))</f>
        <v>#REF!</v>
      </c>
      <c r="BI30" s="22">
        <v>0</v>
      </c>
      <c r="BJ30" s="22" t="e">
        <f t="shared" si="2"/>
        <v>#REF!</v>
      </c>
      <c r="BK30" s="23" t="e">
        <f>IF(SUMPRODUCT($J$85:BJ$85,$J30:BJ30)&lt;0.5, "Pending", IF(BJ30&lt;0.5, "Complete", "In Progress"))</f>
        <v>#REF!</v>
      </c>
      <c r="BL30" s="22">
        <v>0</v>
      </c>
      <c r="BM30" s="22" t="e">
        <f t="shared" si="3"/>
        <v>#REF!</v>
      </c>
      <c r="BN30" s="23" t="e">
        <f>IF(SUMPRODUCT($J$85:BM$85,$J30:BM30)&lt;0.5, "Pending", IF(BM30&lt;0.5, "Complete", "In Progress"))</f>
        <v>#REF!</v>
      </c>
      <c r="BO30" s="22">
        <v>0</v>
      </c>
      <c r="BP30" s="22" t="e">
        <f t="shared" si="4"/>
        <v>#REF!</v>
      </c>
      <c r="BQ30" s="23" t="e">
        <f>IF(SUMPRODUCT($J$85:BP$85,$J30:BP30)&lt;0.5, "Pending", IF(BP30&lt;0.5, "Complete", "In Progress"))</f>
        <v>#REF!</v>
      </c>
      <c r="BR30" s="22">
        <v>0</v>
      </c>
      <c r="BS30" s="22" t="e">
        <f t="shared" si="5"/>
        <v>#REF!</v>
      </c>
      <c r="BT30" s="23" t="e">
        <f>IF(SUMPRODUCT($J$85:BS$85,$J30:BS30)&lt;0.5, "Pending", IF(BS30&lt;0.5, "Complete", "In Progress"))</f>
        <v>#REF!</v>
      </c>
      <c r="BU30" s="22">
        <v>0</v>
      </c>
      <c r="BV30" s="22" t="e">
        <f t="shared" si="6"/>
        <v>#REF!</v>
      </c>
      <c r="BW30" s="23" t="e">
        <f>IF(SUMPRODUCT($J$85:BV$85,$J30:BV30)&lt;0.5, "Pending", IF(BV30&lt;0.5, "Complete", "In Progress"))</f>
        <v>#REF!</v>
      </c>
      <c r="BX30" s="22">
        <v>0</v>
      </c>
      <c r="BY30" s="22" t="e">
        <f t="shared" si="7"/>
        <v>#REF!</v>
      </c>
      <c r="BZ30" s="23" t="e">
        <f>IF(SUMPRODUCT($J$85:BY$85,$J30:BY30)&lt;0.5, "Pending", IF(BY30&lt;0.5, "Complete", "In Progress"))</f>
        <v>#REF!</v>
      </c>
      <c r="CA30" s="22">
        <v>0</v>
      </c>
      <c r="CB30" s="22" t="e">
        <f t="shared" si="8"/>
        <v>#REF!</v>
      </c>
      <c r="CC30" s="23" t="e">
        <f>IF(SUMPRODUCT($J$85:CB$85,$J30:CB30)&lt;0.5, "Pending", IF(CB30&lt;0.5, "Complete", "In Progress"))</f>
        <v>#REF!</v>
      </c>
      <c r="CD30" s="24"/>
      <c r="CE30" s="25">
        <f>SUMPRODUCT($H$85:AY$85,$H30:AY30)</f>
        <v>50</v>
      </c>
    </row>
    <row r="31" spans="1:83" ht="13.8" customHeight="1" x14ac:dyDescent="0.25">
      <c r="A31" s="16" t="s">
        <v>103</v>
      </c>
      <c r="B31" s="16" t="s">
        <v>116</v>
      </c>
      <c r="C31" s="16" t="s">
        <v>502</v>
      </c>
      <c r="D31" s="17" t="s">
        <v>159</v>
      </c>
      <c r="E31" s="158" t="s">
        <v>327</v>
      </c>
      <c r="F31" s="158" t="s">
        <v>497</v>
      </c>
      <c r="G31" s="19"/>
      <c r="H31" s="20">
        <v>1</v>
      </c>
      <c r="I31" s="21">
        <v>7</v>
      </c>
      <c r="J31" s="21">
        <v>0</v>
      </c>
      <c r="K31" s="21">
        <v>0</v>
      </c>
      <c r="L31" s="21">
        <v>0</v>
      </c>
      <c r="M31" s="21">
        <v>0</v>
      </c>
      <c r="N31" s="21">
        <v>0</v>
      </c>
      <c r="O31" s="21">
        <v>0</v>
      </c>
      <c r="P31" s="21">
        <v>0</v>
      </c>
      <c r="Q31" s="21">
        <v>0</v>
      </c>
      <c r="R31" s="21">
        <v>0</v>
      </c>
      <c r="S31" s="21">
        <v>0</v>
      </c>
      <c r="T31" s="21">
        <v>0</v>
      </c>
      <c r="U31" s="21">
        <v>0</v>
      </c>
      <c r="V31" s="21">
        <v>0</v>
      </c>
      <c r="W31" s="21">
        <v>0</v>
      </c>
      <c r="X31" s="21">
        <v>0</v>
      </c>
      <c r="Y31" s="21">
        <v>0</v>
      </c>
      <c r="Z31" s="21">
        <v>0</v>
      </c>
      <c r="AA31" s="21">
        <v>0</v>
      </c>
      <c r="AB31" s="21">
        <v>0</v>
      </c>
      <c r="AC31" s="21">
        <v>0</v>
      </c>
      <c r="AD31" s="21">
        <v>0</v>
      </c>
      <c r="AE31" s="21">
        <v>0</v>
      </c>
      <c r="AF31" s="21">
        <v>0</v>
      </c>
      <c r="AG31" s="21">
        <v>0</v>
      </c>
      <c r="AH31" s="21">
        <v>0</v>
      </c>
      <c r="AI31" s="21">
        <v>0</v>
      </c>
      <c r="AJ31" s="21">
        <v>0</v>
      </c>
      <c r="AK31" s="21">
        <v>0</v>
      </c>
      <c r="AL31" s="21">
        <v>0</v>
      </c>
      <c r="AM31" s="21">
        <v>0</v>
      </c>
      <c r="AN31" s="21">
        <v>0</v>
      </c>
      <c r="AO31" s="21">
        <v>0</v>
      </c>
      <c r="AP31" s="21">
        <v>0</v>
      </c>
      <c r="AQ31" s="21">
        <v>0</v>
      </c>
      <c r="AR31" s="21">
        <v>0</v>
      </c>
      <c r="AS31" s="21">
        <v>0</v>
      </c>
      <c r="AT31" s="21">
        <v>0</v>
      </c>
      <c r="AU31" s="21">
        <v>0</v>
      </c>
      <c r="AV31" s="21">
        <v>0</v>
      </c>
      <c r="AW31" s="21">
        <v>0</v>
      </c>
      <c r="AX31" s="21">
        <v>0</v>
      </c>
      <c r="AY31" s="21">
        <v>0</v>
      </c>
      <c r="AZ31" s="22">
        <v>0</v>
      </c>
      <c r="BA31" s="22" t="e">
        <f>MAX(#REF!-AZ31,0)</f>
        <v>#REF!</v>
      </c>
      <c r="BB31" s="23" t="e">
        <f>IF(SUMPRODUCT($J$85:BA$85,$J31:BA31)&lt;0.5, "Pending", IF(BA31&lt;0.5, "Complete", "In Progress"))</f>
        <v>#REF!</v>
      </c>
      <c r="BC31" s="22">
        <v>0</v>
      </c>
      <c r="BD31" s="22" t="e">
        <f t="shared" si="0"/>
        <v>#REF!</v>
      </c>
      <c r="BE31" s="23" t="e">
        <f>IF(SUMPRODUCT($J$85:BD$85,$J31:BD31)&lt;0.5, "Pending", IF(BD31&lt;0.5, "Complete", "In Progress"))</f>
        <v>#REF!</v>
      </c>
      <c r="BF31" s="22">
        <v>0</v>
      </c>
      <c r="BG31" s="22" t="e">
        <f t="shared" si="1"/>
        <v>#REF!</v>
      </c>
      <c r="BH31" s="23" t="e">
        <f>IF(SUMPRODUCT($J$85:BG$85,$J31:BG31)&lt;0.5, "Pending", IF(BG31&lt;0.5, "Complete", "In Progress"))</f>
        <v>#REF!</v>
      </c>
      <c r="BI31" s="22">
        <v>0</v>
      </c>
      <c r="BJ31" s="22" t="e">
        <f t="shared" si="2"/>
        <v>#REF!</v>
      </c>
      <c r="BK31" s="23" t="e">
        <f>IF(SUMPRODUCT($J$85:BJ$85,$J31:BJ31)&lt;0.5, "Pending", IF(BJ31&lt;0.5, "Complete", "In Progress"))</f>
        <v>#REF!</v>
      </c>
      <c r="BL31" s="22">
        <v>0</v>
      </c>
      <c r="BM31" s="22" t="e">
        <f t="shared" si="3"/>
        <v>#REF!</v>
      </c>
      <c r="BN31" s="23" t="e">
        <f>IF(SUMPRODUCT($J$85:BM$85,$J31:BM31)&lt;0.5, "Pending", IF(BM31&lt;0.5, "Complete", "In Progress"))</f>
        <v>#REF!</v>
      </c>
      <c r="BO31" s="22">
        <v>0</v>
      </c>
      <c r="BP31" s="22" t="e">
        <f t="shared" si="4"/>
        <v>#REF!</v>
      </c>
      <c r="BQ31" s="23" t="e">
        <f>IF(SUMPRODUCT($J$85:BP$85,$J31:BP31)&lt;0.5, "Pending", IF(BP31&lt;0.5, "Complete", "In Progress"))</f>
        <v>#REF!</v>
      </c>
      <c r="BR31" s="22">
        <v>0</v>
      </c>
      <c r="BS31" s="22" t="e">
        <f t="shared" si="5"/>
        <v>#REF!</v>
      </c>
      <c r="BT31" s="23" t="e">
        <f>IF(SUMPRODUCT($J$85:BS$85,$J31:BS31)&lt;0.5, "Pending", IF(BS31&lt;0.5, "Complete", "In Progress"))</f>
        <v>#REF!</v>
      </c>
      <c r="BU31" s="22">
        <v>0</v>
      </c>
      <c r="BV31" s="22" t="e">
        <f t="shared" si="6"/>
        <v>#REF!</v>
      </c>
      <c r="BW31" s="23" t="e">
        <f>IF(SUMPRODUCT($J$85:BV$85,$J31:BV31)&lt;0.5, "Pending", IF(BV31&lt;0.5, "Complete", "In Progress"))</f>
        <v>#REF!</v>
      </c>
      <c r="BX31" s="22">
        <v>0</v>
      </c>
      <c r="BY31" s="22" t="e">
        <f t="shared" si="7"/>
        <v>#REF!</v>
      </c>
      <c r="BZ31" s="23" t="e">
        <f>IF(SUMPRODUCT($J$85:BY$85,$J31:BY31)&lt;0.5, "Pending", IF(BY31&lt;0.5, "Complete", "In Progress"))</f>
        <v>#REF!</v>
      </c>
      <c r="CA31" s="22">
        <v>0</v>
      </c>
      <c r="CB31" s="22" t="e">
        <f t="shared" si="8"/>
        <v>#REF!</v>
      </c>
      <c r="CC31" s="23" t="e">
        <f>IF(SUMPRODUCT($J$85:CB$85,$J31:CB31)&lt;0.5, "Pending", IF(CB31&lt;0.5, "Complete", "In Progress"))</f>
        <v>#REF!</v>
      </c>
      <c r="CD31" s="24"/>
      <c r="CE31" s="25">
        <f>SUMPRODUCT($H$85:AY$85,$H31:AY31)</f>
        <v>50</v>
      </c>
    </row>
    <row r="32" spans="1:83" ht="13.8" customHeight="1" x14ac:dyDescent="0.25">
      <c r="A32" s="16" t="s">
        <v>103</v>
      </c>
      <c r="B32" s="16" t="s">
        <v>117</v>
      </c>
      <c r="C32" s="16" t="s">
        <v>502</v>
      </c>
      <c r="D32" s="17" t="s">
        <v>160</v>
      </c>
      <c r="E32" s="158" t="s">
        <v>328</v>
      </c>
      <c r="F32" s="158" t="s">
        <v>498</v>
      </c>
      <c r="G32" s="19"/>
      <c r="H32" s="20">
        <v>1</v>
      </c>
      <c r="I32" s="21">
        <v>7</v>
      </c>
      <c r="J32" s="21">
        <v>0</v>
      </c>
      <c r="K32" s="21">
        <v>0</v>
      </c>
      <c r="L32" s="21">
        <v>0</v>
      </c>
      <c r="M32" s="21">
        <v>0</v>
      </c>
      <c r="N32" s="21">
        <v>0</v>
      </c>
      <c r="O32" s="21">
        <v>0</v>
      </c>
      <c r="P32" s="21">
        <v>0</v>
      </c>
      <c r="Q32" s="21">
        <v>0</v>
      </c>
      <c r="R32" s="21">
        <v>0</v>
      </c>
      <c r="S32" s="21">
        <v>0</v>
      </c>
      <c r="T32" s="21">
        <v>0</v>
      </c>
      <c r="U32" s="21">
        <v>0</v>
      </c>
      <c r="V32" s="21">
        <v>0</v>
      </c>
      <c r="W32" s="21">
        <v>0</v>
      </c>
      <c r="X32" s="21">
        <v>0</v>
      </c>
      <c r="Y32" s="21">
        <v>0</v>
      </c>
      <c r="Z32" s="21">
        <v>0</v>
      </c>
      <c r="AA32" s="21">
        <v>0</v>
      </c>
      <c r="AB32" s="21">
        <v>0</v>
      </c>
      <c r="AC32" s="21">
        <v>0</v>
      </c>
      <c r="AD32" s="21">
        <v>0</v>
      </c>
      <c r="AE32" s="21">
        <v>0</v>
      </c>
      <c r="AF32" s="21">
        <v>0</v>
      </c>
      <c r="AG32" s="21">
        <v>0</v>
      </c>
      <c r="AH32" s="21">
        <v>0</v>
      </c>
      <c r="AI32" s="21">
        <v>0</v>
      </c>
      <c r="AJ32" s="21">
        <v>0</v>
      </c>
      <c r="AK32" s="21">
        <v>0</v>
      </c>
      <c r="AL32" s="21">
        <v>0</v>
      </c>
      <c r="AM32" s="21">
        <v>0</v>
      </c>
      <c r="AN32" s="21">
        <v>0</v>
      </c>
      <c r="AO32" s="21">
        <v>0</v>
      </c>
      <c r="AP32" s="21">
        <v>0</v>
      </c>
      <c r="AQ32" s="21">
        <v>0</v>
      </c>
      <c r="AR32" s="21">
        <v>0</v>
      </c>
      <c r="AS32" s="21">
        <v>0</v>
      </c>
      <c r="AT32" s="21">
        <v>0</v>
      </c>
      <c r="AU32" s="21">
        <v>0</v>
      </c>
      <c r="AV32" s="21">
        <v>0</v>
      </c>
      <c r="AW32" s="21">
        <v>0</v>
      </c>
      <c r="AX32" s="21">
        <v>0</v>
      </c>
      <c r="AY32" s="21">
        <v>0</v>
      </c>
      <c r="AZ32" s="22">
        <v>0</v>
      </c>
      <c r="BA32" s="22" t="e">
        <f>MAX(#REF!-AZ32,0)</f>
        <v>#REF!</v>
      </c>
      <c r="BB32" s="23" t="e">
        <f>IF(SUMPRODUCT($J$85:BA$85,$J32:BA32)&lt;0.5, "Pending", IF(BA32&lt;0.5, "Complete", "In Progress"))</f>
        <v>#REF!</v>
      </c>
      <c r="BC32" s="22">
        <v>0</v>
      </c>
      <c r="BD32" s="22" t="e">
        <f t="shared" si="0"/>
        <v>#REF!</v>
      </c>
      <c r="BE32" s="23" t="e">
        <f>IF(SUMPRODUCT($J$85:BD$85,$J32:BD32)&lt;0.5, "Pending", IF(BD32&lt;0.5, "Complete", "In Progress"))</f>
        <v>#REF!</v>
      </c>
      <c r="BF32" s="22">
        <v>0</v>
      </c>
      <c r="BG32" s="22" t="e">
        <f t="shared" si="1"/>
        <v>#REF!</v>
      </c>
      <c r="BH32" s="23" t="e">
        <f>IF(SUMPRODUCT($J$85:BG$85,$J32:BG32)&lt;0.5, "Pending", IF(BG32&lt;0.5, "Complete", "In Progress"))</f>
        <v>#REF!</v>
      </c>
      <c r="BI32" s="22">
        <v>0</v>
      </c>
      <c r="BJ32" s="22" t="e">
        <f t="shared" si="2"/>
        <v>#REF!</v>
      </c>
      <c r="BK32" s="23" t="e">
        <f>IF(SUMPRODUCT($J$85:BJ$85,$J32:BJ32)&lt;0.5, "Pending", IF(BJ32&lt;0.5, "Complete", "In Progress"))</f>
        <v>#REF!</v>
      </c>
      <c r="BL32" s="22">
        <v>0</v>
      </c>
      <c r="BM32" s="22" t="e">
        <f t="shared" si="3"/>
        <v>#REF!</v>
      </c>
      <c r="BN32" s="23" t="e">
        <f>IF(SUMPRODUCT($J$85:BM$85,$J32:BM32)&lt;0.5, "Pending", IF(BM32&lt;0.5, "Complete", "In Progress"))</f>
        <v>#REF!</v>
      </c>
      <c r="BO32" s="22">
        <v>0</v>
      </c>
      <c r="BP32" s="22" t="e">
        <f t="shared" si="4"/>
        <v>#REF!</v>
      </c>
      <c r="BQ32" s="23" t="e">
        <f>IF(SUMPRODUCT($J$85:BP$85,$J32:BP32)&lt;0.5, "Pending", IF(BP32&lt;0.5, "Complete", "In Progress"))</f>
        <v>#REF!</v>
      </c>
      <c r="BR32" s="22">
        <v>0</v>
      </c>
      <c r="BS32" s="22" t="e">
        <f t="shared" si="5"/>
        <v>#REF!</v>
      </c>
      <c r="BT32" s="23" t="e">
        <f>IF(SUMPRODUCT($J$85:BS$85,$J32:BS32)&lt;0.5, "Pending", IF(BS32&lt;0.5, "Complete", "In Progress"))</f>
        <v>#REF!</v>
      </c>
      <c r="BU32" s="22">
        <v>0</v>
      </c>
      <c r="BV32" s="22" t="e">
        <f t="shared" si="6"/>
        <v>#REF!</v>
      </c>
      <c r="BW32" s="23" t="e">
        <f>IF(SUMPRODUCT($J$85:BV$85,$J32:BV32)&lt;0.5, "Pending", IF(BV32&lt;0.5, "Complete", "In Progress"))</f>
        <v>#REF!</v>
      </c>
      <c r="BX32" s="22">
        <v>0</v>
      </c>
      <c r="BY32" s="22" t="e">
        <f t="shared" si="7"/>
        <v>#REF!</v>
      </c>
      <c r="BZ32" s="23" t="e">
        <f>IF(SUMPRODUCT($J$85:BY$85,$J32:BY32)&lt;0.5, "Pending", IF(BY32&lt;0.5, "Complete", "In Progress"))</f>
        <v>#REF!</v>
      </c>
      <c r="CA32" s="22">
        <v>0</v>
      </c>
      <c r="CB32" s="22" t="e">
        <f t="shared" si="8"/>
        <v>#REF!</v>
      </c>
      <c r="CC32" s="23" t="e">
        <f>IF(SUMPRODUCT($J$85:CB$85,$J32:CB32)&lt;0.5, "Pending", IF(CB32&lt;0.5, "Complete", "In Progress"))</f>
        <v>#REF!</v>
      </c>
      <c r="CD32" s="24"/>
      <c r="CE32" s="25">
        <f>SUMPRODUCT($H$85:AY$85,$H32:AY32)</f>
        <v>50</v>
      </c>
    </row>
    <row r="33" spans="1:83" ht="13.8" customHeight="1" x14ac:dyDescent="0.25">
      <c r="A33" s="16" t="s">
        <v>103</v>
      </c>
      <c r="B33" s="16" t="s">
        <v>110</v>
      </c>
      <c r="C33" s="16" t="s">
        <v>134</v>
      </c>
      <c r="D33" s="17">
        <v>2.2000000000000002</v>
      </c>
      <c r="E33" s="158" t="s">
        <v>329</v>
      </c>
      <c r="F33" s="158" t="s">
        <v>496</v>
      </c>
      <c r="G33" s="19"/>
      <c r="H33" s="20">
        <v>1</v>
      </c>
      <c r="I33" s="21">
        <v>7</v>
      </c>
      <c r="J33" s="21">
        <v>0</v>
      </c>
      <c r="K33" s="21">
        <v>0</v>
      </c>
      <c r="L33" s="21">
        <v>0</v>
      </c>
      <c r="M33" s="21">
        <v>0</v>
      </c>
      <c r="N33" s="21">
        <v>0</v>
      </c>
      <c r="O33" s="21">
        <v>0</v>
      </c>
      <c r="P33" s="21">
        <v>0</v>
      </c>
      <c r="Q33" s="21">
        <v>0</v>
      </c>
      <c r="R33" s="21">
        <v>0</v>
      </c>
      <c r="S33" s="21">
        <v>0</v>
      </c>
      <c r="T33" s="21">
        <v>0</v>
      </c>
      <c r="U33" s="21">
        <v>0</v>
      </c>
      <c r="V33" s="21">
        <v>0</v>
      </c>
      <c r="W33" s="21">
        <v>0</v>
      </c>
      <c r="X33" s="21">
        <v>0</v>
      </c>
      <c r="Y33" s="21">
        <v>0</v>
      </c>
      <c r="Z33" s="21">
        <v>0</v>
      </c>
      <c r="AA33" s="21">
        <v>0</v>
      </c>
      <c r="AB33" s="21">
        <v>0</v>
      </c>
      <c r="AC33" s="21">
        <v>0</v>
      </c>
      <c r="AD33" s="21">
        <v>0</v>
      </c>
      <c r="AE33" s="21">
        <v>0</v>
      </c>
      <c r="AF33" s="21">
        <v>0</v>
      </c>
      <c r="AG33" s="21">
        <v>0</v>
      </c>
      <c r="AH33" s="21">
        <v>0</v>
      </c>
      <c r="AI33" s="21">
        <v>0</v>
      </c>
      <c r="AJ33" s="21">
        <v>0</v>
      </c>
      <c r="AK33" s="21">
        <v>0</v>
      </c>
      <c r="AL33" s="21">
        <v>0</v>
      </c>
      <c r="AM33" s="21">
        <v>0</v>
      </c>
      <c r="AN33" s="21">
        <v>0</v>
      </c>
      <c r="AO33" s="21">
        <v>0</v>
      </c>
      <c r="AP33" s="21">
        <v>0</v>
      </c>
      <c r="AQ33" s="21">
        <v>0</v>
      </c>
      <c r="AR33" s="21">
        <v>0</v>
      </c>
      <c r="AS33" s="21">
        <v>0</v>
      </c>
      <c r="AT33" s="21">
        <v>0</v>
      </c>
      <c r="AU33" s="21">
        <v>0</v>
      </c>
      <c r="AV33" s="21">
        <v>0</v>
      </c>
      <c r="AW33" s="21">
        <v>0</v>
      </c>
      <c r="AX33" s="21">
        <v>0</v>
      </c>
      <c r="AY33" s="21">
        <v>0</v>
      </c>
      <c r="AZ33" s="22">
        <v>0</v>
      </c>
      <c r="BA33" s="22" t="e">
        <f>MAX(#REF!-AZ33,0)</f>
        <v>#REF!</v>
      </c>
      <c r="BB33" s="23" t="e">
        <f>IF(SUMPRODUCT($J$85:BA$85,$J33:BA33)&lt;0.5, "Pending", IF(BA33&lt;0.5, "Complete", "In Progress"))</f>
        <v>#REF!</v>
      </c>
      <c r="BC33" s="22">
        <v>0</v>
      </c>
      <c r="BD33" s="22" t="e">
        <f t="shared" si="0"/>
        <v>#REF!</v>
      </c>
      <c r="BE33" s="23" t="e">
        <f>IF(SUMPRODUCT($J$85:BD$85,$J33:BD33)&lt;0.5, "Pending", IF(BD33&lt;0.5, "Complete", "In Progress"))</f>
        <v>#REF!</v>
      </c>
      <c r="BF33" s="22">
        <v>0</v>
      </c>
      <c r="BG33" s="22" t="e">
        <f t="shared" si="1"/>
        <v>#REF!</v>
      </c>
      <c r="BH33" s="23" t="e">
        <f>IF(SUMPRODUCT($J$85:BG$85,$J33:BG33)&lt;0.5, "Pending", IF(BG33&lt;0.5, "Complete", "In Progress"))</f>
        <v>#REF!</v>
      </c>
      <c r="BI33" s="22">
        <v>0</v>
      </c>
      <c r="BJ33" s="22" t="e">
        <f t="shared" si="2"/>
        <v>#REF!</v>
      </c>
      <c r="BK33" s="23" t="e">
        <f>IF(SUMPRODUCT($J$85:BJ$85,$J33:BJ33)&lt;0.5, "Pending", IF(BJ33&lt;0.5, "Complete", "In Progress"))</f>
        <v>#REF!</v>
      </c>
      <c r="BL33" s="22">
        <v>0</v>
      </c>
      <c r="BM33" s="22" t="e">
        <f t="shared" si="3"/>
        <v>#REF!</v>
      </c>
      <c r="BN33" s="23" t="e">
        <f>IF(SUMPRODUCT($J$85:BM$85,$J33:BM33)&lt;0.5, "Pending", IF(BM33&lt;0.5, "Complete", "In Progress"))</f>
        <v>#REF!</v>
      </c>
      <c r="BO33" s="22">
        <v>0</v>
      </c>
      <c r="BP33" s="22" t="e">
        <f t="shared" si="4"/>
        <v>#REF!</v>
      </c>
      <c r="BQ33" s="23" t="e">
        <f>IF(SUMPRODUCT($J$85:BP$85,$J33:BP33)&lt;0.5, "Pending", IF(BP33&lt;0.5, "Complete", "In Progress"))</f>
        <v>#REF!</v>
      </c>
      <c r="BR33" s="22">
        <v>0</v>
      </c>
      <c r="BS33" s="22" t="e">
        <f t="shared" si="5"/>
        <v>#REF!</v>
      </c>
      <c r="BT33" s="23" t="e">
        <f>IF(SUMPRODUCT($J$85:BS$85,$J33:BS33)&lt;0.5, "Pending", IF(BS33&lt;0.5, "Complete", "In Progress"))</f>
        <v>#REF!</v>
      </c>
      <c r="BU33" s="22">
        <v>0</v>
      </c>
      <c r="BV33" s="22" t="e">
        <f t="shared" si="6"/>
        <v>#REF!</v>
      </c>
      <c r="BW33" s="23" t="e">
        <f>IF(SUMPRODUCT($J$85:BV$85,$J33:BV33)&lt;0.5, "Pending", IF(BV33&lt;0.5, "Complete", "In Progress"))</f>
        <v>#REF!</v>
      </c>
      <c r="BX33" s="22">
        <v>0</v>
      </c>
      <c r="BY33" s="22" t="e">
        <f t="shared" si="7"/>
        <v>#REF!</v>
      </c>
      <c r="BZ33" s="23" t="e">
        <f>IF(SUMPRODUCT($J$85:BY$85,$J33:BY33)&lt;0.5, "Pending", IF(BY33&lt;0.5, "Complete", "In Progress"))</f>
        <v>#REF!</v>
      </c>
      <c r="CA33" s="22">
        <v>0</v>
      </c>
      <c r="CB33" s="22" t="e">
        <f t="shared" si="8"/>
        <v>#REF!</v>
      </c>
      <c r="CC33" s="23" t="e">
        <f>IF(SUMPRODUCT($J$85:CB$85,$J33:CB33)&lt;0.5, "Pending", IF(CB33&lt;0.5, "Complete", "In Progress"))</f>
        <v>#REF!</v>
      </c>
      <c r="CD33" s="24"/>
      <c r="CE33" s="25">
        <f>SUMPRODUCT($H$85:AY$85,$H33:AY33)</f>
        <v>50</v>
      </c>
    </row>
    <row r="34" spans="1:83" ht="13.8" customHeight="1" x14ac:dyDescent="0.25">
      <c r="A34" s="16" t="s">
        <v>103</v>
      </c>
      <c r="B34" s="16" t="s">
        <v>116</v>
      </c>
      <c r="C34" s="16" t="s">
        <v>503</v>
      </c>
      <c r="D34" s="17" t="s">
        <v>161</v>
      </c>
      <c r="E34" s="158" t="s">
        <v>330</v>
      </c>
      <c r="F34" s="158" t="s">
        <v>495</v>
      </c>
      <c r="G34" s="169"/>
      <c r="H34" s="20">
        <v>1</v>
      </c>
      <c r="I34" s="21">
        <v>7</v>
      </c>
      <c r="J34" s="21">
        <v>0</v>
      </c>
      <c r="K34" s="21">
        <v>0</v>
      </c>
      <c r="L34" s="21">
        <v>0</v>
      </c>
      <c r="M34" s="21">
        <v>0</v>
      </c>
      <c r="N34" s="21">
        <v>0</v>
      </c>
      <c r="O34" s="21">
        <v>0</v>
      </c>
      <c r="P34" s="21">
        <v>0</v>
      </c>
      <c r="Q34" s="21">
        <v>0</v>
      </c>
      <c r="R34" s="21">
        <v>0</v>
      </c>
      <c r="S34" s="21">
        <v>0</v>
      </c>
      <c r="T34" s="21">
        <v>0</v>
      </c>
      <c r="U34" s="21">
        <v>0</v>
      </c>
      <c r="V34" s="21">
        <v>0</v>
      </c>
      <c r="W34" s="21">
        <v>0</v>
      </c>
      <c r="X34" s="21">
        <v>0</v>
      </c>
      <c r="Y34" s="21">
        <v>0</v>
      </c>
      <c r="Z34" s="21">
        <v>0</v>
      </c>
      <c r="AA34" s="21">
        <v>0</v>
      </c>
      <c r="AB34" s="21">
        <v>0</v>
      </c>
      <c r="AC34" s="21">
        <v>0</v>
      </c>
      <c r="AD34" s="21">
        <v>0</v>
      </c>
      <c r="AE34" s="21">
        <v>0</v>
      </c>
      <c r="AF34" s="21">
        <v>0</v>
      </c>
      <c r="AG34" s="21">
        <v>0</v>
      </c>
      <c r="AH34" s="21">
        <v>0</v>
      </c>
      <c r="AI34" s="21">
        <v>0</v>
      </c>
      <c r="AJ34" s="21">
        <v>0</v>
      </c>
      <c r="AK34" s="21">
        <v>0</v>
      </c>
      <c r="AL34" s="21">
        <v>0</v>
      </c>
      <c r="AM34" s="21">
        <v>0</v>
      </c>
      <c r="AN34" s="21">
        <v>0</v>
      </c>
      <c r="AO34" s="21">
        <v>0</v>
      </c>
      <c r="AP34" s="21">
        <v>0</v>
      </c>
      <c r="AQ34" s="21">
        <v>0</v>
      </c>
      <c r="AR34" s="21">
        <v>0</v>
      </c>
      <c r="AS34" s="21">
        <v>0</v>
      </c>
      <c r="AT34" s="21">
        <v>0</v>
      </c>
      <c r="AU34" s="21">
        <v>0</v>
      </c>
      <c r="AV34" s="21">
        <v>0</v>
      </c>
      <c r="AW34" s="21">
        <v>0</v>
      </c>
      <c r="AX34" s="21">
        <v>0</v>
      </c>
      <c r="AY34" s="21">
        <v>0</v>
      </c>
      <c r="AZ34" s="22">
        <v>0</v>
      </c>
      <c r="BA34" s="22" t="e">
        <f>MAX(#REF!-AZ34,0)</f>
        <v>#REF!</v>
      </c>
      <c r="BB34" s="23" t="e">
        <f>IF(SUMPRODUCT($J$85:BA$85,$J34:BA34)&lt;0.5, "Pending", IF(BA34&lt;0.5, "Complete", "In Progress"))</f>
        <v>#REF!</v>
      </c>
      <c r="BC34" s="22">
        <v>0</v>
      </c>
      <c r="BD34" s="22" t="e">
        <f t="shared" si="0"/>
        <v>#REF!</v>
      </c>
      <c r="BE34" s="23" t="e">
        <f>IF(SUMPRODUCT($J$85:BD$85,$J34:BD34)&lt;0.5, "Pending", IF(BD34&lt;0.5, "Complete", "In Progress"))</f>
        <v>#REF!</v>
      </c>
      <c r="BF34" s="22">
        <v>0</v>
      </c>
      <c r="BG34" s="22" t="e">
        <f t="shared" si="1"/>
        <v>#REF!</v>
      </c>
      <c r="BH34" s="23" t="e">
        <f>IF(SUMPRODUCT($J$85:BG$85,$J34:BG34)&lt;0.5, "Pending", IF(BG34&lt;0.5, "Complete", "In Progress"))</f>
        <v>#REF!</v>
      </c>
      <c r="BI34" s="22">
        <v>0</v>
      </c>
      <c r="BJ34" s="22" t="e">
        <f t="shared" si="2"/>
        <v>#REF!</v>
      </c>
      <c r="BK34" s="23" t="e">
        <f>IF(SUMPRODUCT($J$85:BJ$85,$J34:BJ34)&lt;0.5, "Pending", IF(BJ34&lt;0.5, "Complete", "In Progress"))</f>
        <v>#REF!</v>
      </c>
      <c r="BL34" s="22">
        <v>0</v>
      </c>
      <c r="BM34" s="22" t="e">
        <f t="shared" si="3"/>
        <v>#REF!</v>
      </c>
      <c r="BN34" s="23" t="e">
        <f>IF(SUMPRODUCT($J$85:BM$85,$J34:BM34)&lt;0.5, "Pending", IF(BM34&lt;0.5, "Complete", "In Progress"))</f>
        <v>#REF!</v>
      </c>
      <c r="BO34" s="22">
        <v>0</v>
      </c>
      <c r="BP34" s="22" t="e">
        <f t="shared" si="4"/>
        <v>#REF!</v>
      </c>
      <c r="BQ34" s="23" t="e">
        <f>IF(SUMPRODUCT($J$85:BP$85,$J34:BP34)&lt;0.5, "Pending", IF(BP34&lt;0.5, "Complete", "In Progress"))</f>
        <v>#REF!</v>
      </c>
      <c r="BR34" s="22">
        <v>0</v>
      </c>
      <c r="BS34" s="22" t="e">
        <f t="shared" si="5"/>
        <v>#REF!</v>
      </c>
      <c r="BT34" s="23" t="e">
        <f>IF(SUMPRODUCT($J$85:BS$85,$J34:BS34)&lt;0.5, "Pending", IF(BS34&lt;0.5, "Complete", "In Progress"))</f>
        <v>#REF!</v>
      </c>
      <c r="BU34" s="22">
        <v>0</v>
      </c>
      <c r="BV34" s="22" t="e">
        <f t="shared" si="6"/>
        <v>#REF!</v>
      </c>
      <c r="BW34" s="23" t="e">
        <f>IF(SUMPRODUCT($J$85:BV$85,$J34:BV34)&lt;0.5, "Pending", IF(BV34&lt;0.5, "Complete", "In Progress"))</f>
        <v>#REF!</v>
      </c>
      <c r="BX34" s="22">
        <v>0</v>
      </c>
      <c r="BY34" s="22" t="e">
        <f t="shared" si="7"/>
        <v>#REF!</v>
      </c>
      <c r="BZ34" s="23" t="e">
        <f>IF(SUMPRODUCT($J$85:BY$85,$J34:BY34)&lt;0.5, "Pending", IF(BY34&lt;0.5, "Complete", "In Progress"))</f>
        <v>#REF!</v>
      </c>
      <c r="CA34" s="22">
        <v>0</v>
      </c>
      <c r="CB34" s="22" t="e">
        <f t="shared" si="8"/>
        <v>#REF!</v>
      </c>
      <c r="CC34" s="23" t="e">
        <f>IF(SUMPRODUCT($J$85:CB$85,$J34:CB34)&lt;0.5, "Pending", IF(CB34&lt;0.5, "Complete", "In Progress"))</f>
        <v>#REF!</v>
      </c>
      <c r="CD34" s="24"/>
      <c r="CE34" s="25">
        <f>SUMPRODUCT($H$85:AY$85,$H34:AY34)</f>
        <v>50</v>
      </c>
    </row>
    <row r="35" spans="1:83" ht="13.8" customHeight="1" x14ac:dyDescent="0.25">
      <c r="A35" s="16" t="s">
        <v>103</v>
      </c>
      <c r="B35" s="16" t="s">
        <v>116</v>
      </c>
      <c r="C35" s="16" t="s">
        <v>503</v>
      </c>
      <c r="D35" s="17" t="s">
        <v>162</v>
      </c>
      <c r="E35" s="158" t="s">
        <v>331</v>
      </c>
      <c r="F35" s="158" t="s">
        <v>493</v>
      </c>
      <c r="G35" s="168"/>
      <c r="H35" s="20">
        <v>1</v>
      </c>
      <c r="I35" s="21">
        <v>56</v>
      </c>
      <c r="J35" s="21">
        <v>0</v>
      </c>
      <c r="K35" s="21">
        <v>0</v>
      </c>
      <c r="L35" s="21">
        <v>0</v>
      </c>
      <c r="M35" s="21">
        <v>0</v>
      </c>
      <c r="N35" s="21">
        <v>0</v>
      </c>
      <c r="O35" s="21">
        <v>0</v>
      </c>
      <c r="P35" s="21">
        <v>0</v>
      </c>
      <c r="Q35" s="21">
        <v>0</v>
      </c>
      <c r="R35" s="21">
        <v>0</v>
      </c>
      <c r="S35" s="21">
        <v>0</v>
      </c>
      <c r="T35" s="21">
        <v>0</v>
      </c>
      <c r="U35" s="21">
        <v>0</v>
      </c>
      <c r="V35" s="21">
        <v>0</v>
      </c>
      <c r="W35" s="21">
        <v>0</v>
      </c>
      <c r="X35" s="21">
        <v>0</v>
      </c>
      <c r="Y35" s="21">
        <v>0</v>
      </c>
      <c r="Z35" s="21">
        <v>0</v>
      </c>
      <c r="AA35" s="21">
        <v>0</v>
      </c>
      <c r="AB35" s="21">
        <v>0</v>
      </c>
      <c r="AC35" s="21">
        <v>0</v>
      </c>
      <c r="AD35" s="21">
        <v>0</v>
      </c>
      <c r="AE35" s="21">
        <v>0</v>
      </c>
      <c r="AF35" s="21">
        <v>0</v>
      </c>
      <c r="AG35" s="21">
        <v>0</v>
      </c>
      <c r="AH35" s="21">
        <v>0</v>
      </c>
      <c r="AI35" s="21">
        <v>0</v>
      </c>
      <c r="AJ35" s="21">
        <v>0</v>
      </c>
      <c r="AK35" s="21">
        <v>0</v>
      </c>
      <c r="AL35" s="21">
        <v>0</v>
      </c>
      <c r="AM35" s="21">
        <v>0</v>
      </c>
      <c r="AN35" s="21">
        <v>0</v>
      </c>
      <c r="AO35" s="21">
        <v>0</v>
      </c>
      <c r="AP35" s="21">
        <v>0</v>
      </c>
      <c r="AQ35" s="21">
        <v>0</v>
      </c>
      <c r="AR35" s="21">
        <v>0</v>
      </c>
      <c r="AS35" s="21">
        <v>0</v>
      </c>
      <c r="AT35" s="21">
        <v>0</v>
      </c>
      <c r="AU35" s="21">
        <v>0</v>
      </c>
      <c r="AV35" s="21">
        <v>0</v>
      </c>
      <c r="AW35" s="21">
        <v>0</v>
      </c>
      <c r="AX35" s="21">
        <v>0</v>
      </c>
      <c r="AY35" s="21">
        <v>0</v>
      </c>
      <c r="AZ35" s="22">
        <v>0</v>
      </c>
      <c r="BA35" s="22" t="e">
        <f>MAX(#REF!-AZ35,0)</f>
        <v>#REF!</v>
      </c>
      <c r="BB35" s="23" t="e">
        <f>IF(SUMPRODUCT($J$85:BA$85,$J35:BA35)&lt;0.5, "Pending", IF(BA35&lt;0.5, "Complete", "In Progress"))</f>
        <v>#REF!</v>
      </c>
      <c r="BC35" s="22">
        <v>0</v>
      </c>
      <c r="BD35" s="22" t="e">
        <f t="shared" si="0"/>
        <v>#REF!</v>
      </c>
      <c r="BE35" s="23" t="e">
        <f>IF(SUMPRODUCT($J$85:BD$85,$J35:BD35)&lt;0.5, "Pending", IF(BD35&lt;0.5, "Complete", "In Progress"))</f>
        <v>#REF!</v>
      </c>
      <c r="BF35" s="22">
        <v>0</v>
      </c>
      <c r="BG35" s="22" t="e">
        <f t="shared" si="1"/>
        <v>#REF!</v>
      </c>
      <c r="BH35" s="23" t="e">
        <f>IF(SUMPRODUCT($J$85:BG$85,$J35:BG35)&lt;0.5, "Pending", IF(BG35&lt;0.5, "Complete", "In Progress"))</f>
        <v>#REF!</v>
      </c>
      <c r="BI35" s="22">
        <v>0</v>
      </c>
      <c r="BJ35" s="22" t="e">
        <f t="shared" si="2"/>
        <v>#REF!</v>
      </c>
      <c r="BK35" s="23" t="e">
        <f>IF(SUMPRODUCT($J$85:BJ$85,$J35:BJ35)&lt;0.5, "Pending", IF(BJ35&lt;0.5, "Complete", "In Progress"))</f>
        <v>#REF!</v>
      </c>
      <c r="BL35" s="22">
        <v>0</v>
      </c>
      <c r="BM35" s="22" t="e">
        <f t="shared" si="3"/>
        <v>#REF!</v>
      </c>
      <c r="BN35" s="23" t="e">
        <f>IF(SUMPRODUCT($J$85:BM$85,$J35:BM35)&lt;0.5, "Pending", IF(BM35&lt;0.5, "Complete", "In Progress"))</f>
        <v>#REF!</v>
      </c>
      <c r="BO35" s="22">
        <v>0</v>
      </c>
      <c r="BP35" s="22" t="e">
        <f t="shared" si="4"/>
        <v>#REF!</v>
      </c>
      <c r="BQ35" s="23" t="e">
        <f>IF(SUMPRODUCT($J$85:BP$85,$J35:BP35)&lt;0.5, "Pending", IF(BP35&lt;0.5, "Complete", "In Progress"))</f>
        <v>#REF!</v>
      </c>
      <c r="BR35" s="22">
        <v>0</v>
      </c>
      <c r="BS35" s="22" t="e">
        <f t="shared" si="5"/>
        <v>#REF!</v>
      </c>
      <c r="BT35" s="23" t="e">
        <f>IF(SUMPRODUCT($J$85:BS$85,$J35:BS35)&lt;0.5, "Pending", IF(BS35&lt;0.5, "Complete", "In Progress"))</f>
        <v>#REF!</v>
      </c>
      <c r="BU35" s="22">
        <v>0</v>
      </c>
      <c r="BV35" s="22" t="e">
        <f t="shared" si="6"/>
        <v>#REF!</v>
      </c>
      <c r="BW35" s="23" t="e">
        <f>IF(SUMPRODUCT($J$85:BV$85,$J35:BV35)&lt;0.5, "Pending", IF(BV35&lt;0.5, "Complete", "In Progress"))</f>
        <v>#REF!</v>
      </c>
      <c r="BX35" s="22">
        <v>0</v>
      </c>
      <c r="BY35" s="22" t="e">
        <f t="shared" si="7"/>
        <v>#REF!</v>
      </c>
      <c r="BZ35" s="23" t="e">
        <f>IF(SUMPRODUCT($J$85:BY$85,$J35:BY35)&lt;0.5, "Pending", IF(BY35&lt;0.5, "Complete", "In Progress"))</f>
        <v>#REF!</v>
      </c>
      <c r="CA35" s="22">
        <v>0</v>
      </c>
      <c r="CB35" s="22" t="e">
        <f t="shared" si="8"/>
        <v>#REF!</v>
      </c>
      <c r="CC35" s="23" t="e">
        <f>IF(SUMPRODUCT($J$85:CB$85,$J35:CB35)&lt;0.5, "Pending", IF(CB35&lt;0.5, "Complete", "In Progress"))</f>
        <v>#REF!</v>
      </c>
      <c r="CD35" s="24"/>
      <c r="CE35" s="25">
        <f>SUMPRODUCT($H$85:AY$85,$H35:AY35)</f>
        <v>393</v>
      </c>
    </row>
    <row r="36" spans="1:83" ht="13.8" customHeight="1" x14ac:dyDescent="0.25">
      <c r="A36" s="16" t="s">
        <v>103</v>
      </c>
      <c r="B36" s="16" t="s">
        <v>110</v>
      </c>
      <c r="C36" s="16" t="s">
        <v>503</v>
      </c>
      <c r="D36" s="17" t="s">
        <v>163</v>
      </c>
      <c r="E36" s="158" t="s">
        <v>332</v>
      </c>
      <c r="F36" s="158" t="s">
        <v>494</v>
      </c>
      <c r="G36" s="19"/>
      <c r="H36" s="20">
        <v>1</v>
      </c>
      <c r="I36" s="21">
        <v>7</v>
      </c>
      <c r="J36" s="21">
        <v>0</v>
      </c>
      <c r="K36" s="21">
        <v>0</v>
      </c>
      <c r="L36" s="21">
        <v>0</v>
      </c>
      <c r="M36" s="21">
        <v>0</v>
      </c>
      <c r="N36" s="21">
        <v>0</v>
      </c>
      <c r="O36" s="21">
        <v>0</v>
      </c>
      <c r="P36" s="21">
        <v>0</v>
      </c>
      <c r="Q36" s="21">
        <v>0</v>
      </c>
      <c r="R36" s="21">
        <v>0</v>
      </c>
      <c r="S36" s="21">
        <v>0</v>
      </c>
      <c r="T36" s="21">
        <v>0</v>
      </c>
      <c r="U36" s="21">
        <v>0</v>
      </c>
      <c r="V36" s="21">
        <v>0</v>
      </c>
      <c r="W36" s="21">
        <v>0</v>
      </c>
      <c r="X36" s="21">
        <v>0</v>
      </c>
      <c r="Y36" s="21">
        <v>0</v>
      </c>
      <c r="Z36" s="21">
        <v>0</v>
      </c>
      <c r="AA36" s="21">
        <v>0</v>
      </c>
      <c r="AB36" s="21">
        <v>0</v>
      </c>
      <c r="AC36" s="21">
        <v>0</v>
      </c>
      <c r="AD36" s="21">
        <v>0</v>
      </c>
      <c r="AE36" s="21">
        <v>0</v>
      </c>
      <c r="AF36" s="21">
        <v>0</v>
      </c>
      <c r="AG36" s="21">
        <v>0</v>
      </c>
      <c r="AH36" s="21">
        <v>0</v>
      </c>
      <c r="AI36" s="21">
        <v>0</v>
      </c>
      <c r="AJ36" s="21">
        <v>0</v>
      </c>
      <c r="AK36" s="21">
        <v>0</v>
      </c>
      <c r="AL36" s="21">
        <v>0</v>
      </c>
      <c r="AM36" s="21">
        <v>0</v>
      </c>
      <c r="AN36" s="21">
        <v>0</v>
      </c>
      <c r="AO36" s="21">
        <v>0</v>
      </c>
      <c r="AP36" s="21">
        <v>0</v>
      </c>
      <c r="AQ36" s="21">
        <v>0</v>
      </c>
      <c r="AR36" s="21">
        <v>0</v>
      </c>
      <c r="AS36" s="21">
        <v>0</v>
      </c>
      <c r="AT36" s="21">
        <v>0</v>
      </c>
      <c r="AU36" s="21">
        <v>0</v>
      </c>
      <c r="AV36" s="21">
        <v>0</v>
      </c>
      <c r="AW36" s="21">
        <v>0</v>
      </c>
      <c r="AX36" s="21">
        <v>0</v>
      </c>
      <c r="AY36" s="21">
        <v>0</v>
      </c>
      <c r="AZ36" s="22">
        <v>0</v>
      </c>
      <c r="BA36" s="22" t="e">
        <f>MAX(#REF!-AZ36,0)</f>
        <v>#REF!</v>
      </c>
      <c r="BB36" s="23" t="e">
        <f>IF(SUMPRODUCT($J$85:BA$85,$J36:BA36)&lt;0.5, "Pending", IF(BA36&lt;0.5, "Complete", "In Progress"))</f>
        <v>#REF!</v>
      </c>
      <c r="BC36" s="22">
        <v>0</v>
      </c>
      <c r="BD36" s="22" t="e">
        <f t="shared" si="0"/>
        <v>#REF!</v>
      </c>
      <c r="BE36" s="23" t="e">
        <f>IF(SUMPRODUCT($J$85:BD$85,$J36:BD36)&lt;0.5, "Pending", IF(BD36&lt;0.5, "Complete", "In Progress"))</f>
        <v>#REF!</v>
      </c>
      <c r="BF36" s="22">
        <v>0</v>
      </c>
      <c r="BG36" s="22" t="e">
        <f t="shared" si="1"/>
        <v>#REF!</v>
      </c>
      <c r="BH36" s="23" t="e">
        <f>IF(SUMPRODUCT($J$85:BG$85,$J36:BG36)&lt;0.5, "Pending", IF(BG36&lt;0.5, "Complete", "In Progress"))</f>
        <v>#REF!</v>
      </c>
      <c r="BI36" s="22">
        <v>0</v>
      </c>
      <c r="BJ36" s="22" t="e">
        <f t="shared" si="2"/>
        <v>#REF!</v>
      </c>
      <c r="BK36" s="23" t="e">
        <f>IF(SUMPRODUCT($J$85:BJ$85,$J36:BJ36)&lt;0.5, "Pending", IF(BJ36&lt;0.5, "Complete", "In Progress"))</f>
        <v>#REF!</v>
      </c>
      <c r="BL36" s="22">
        <v>0</v>
      </c>
      <c r="BM36" s="22" t="e">
        <f t="shared" si="3"/>
        <v>#REF!</v>
      </c>
      <c r="BN36" s="23" t="e">
        <f>IF(SUMPRODUCT($J$85:BM$85,$J36:BM36)&lt;0.5, "Pending", IF(BM36&lt;0.5, "Complete", "In Progress"))</f>
        <v>#REF!</v>
      </c>
      <c r="BO36" s="22">
        <v>0</v>
      </c>
      <c r="BP36" s="22" t="e">
        <f t="shared" si="4"/>
        <v>#REF!</v>
      </c>
      <c r="BQ36" s="23" t="e">
        <f>IF(SUMPRODUCT($J$85:BP$85,$J36:BP36)&lt;0.5, "Pending", IF(BP36&lt;0.5, "Complete", "In Progress"))</f>
        <v>#REF!</v>
      </c>
      <c r="BR36" s="22">
        <v>0</v>
      </c>
      <c r="BS36" s="22" t="e">
        <f t="shared" si="5"/>
        <v>#REF!</v>
      </c>
      <c r="BT36" s="23" t="e">
        <f>IF(SUMPRODUCT($J$85:BS$85,$J36:BS36)&lt;0.5, "Pending", IF(BS36&lt;0.5, "Complete", "In Progress"))</f>
        <v>#REF!</v>
      </c>
      <c r="BU36" s="22">
        <v>0</v>
      </c>
      <c r="BV36" s="22" t="e">
        <f t="shared" si="6"/>
        <v>#REF!</v>
      </c>
      <c r="BW36" s="23" t="e">
        <f>IF(SUMPRODUCT($J$85:BV$85,$J36:BV36)&lt;0.5, "Pending", IF(BV36&lt;0.5, "Complete", "In Progress"))</f>
        <v>#REF!</v>
      </c>
      <c r="BX36" s="22">
        <v>0</v>
      </c>
      <c r="BY36" s="22" t="e">
        <f t="shared" si="7"/>
        <v>#REF!</v>
      </c>
      <c r="BZ36" s="23" t="e">
        <f>IF(SUMPRODUCT($J$85:BY$85,$J36:BY36)&lt;0.5, "Pending", IF(BY36&lt;0.5, "Complete", "In Progress"))</f>
        <v>#REF!</v>
      </c>
      <c r="CA36" s="22">
        <v>0</v>
      </c>
      <c r="CB36" s="22" t="e">
        <f t="shared" si="8"/>
        <v>#REF!</v>
      </c>
      <c r="CC36" s="23" t="e">
        <f>IF(SUMPRODUCT($J$85:CB$85,$J36:CB36)&lt;0.5, "Pending", IF(CB36&lt;0.5, "Complete", "In Progress"))</f>
        <v>#REF!</v>
      </c>
      <c r="CD36" s="24"/>
      <c r="CE36" s="25">
        <f>SUMPRODUCT($H$85:AY$85,$H36:AY36)</f>
        <v>50</v>
      </c>
    </row>
    <row r="37" spans="1:83" ht="13.8" customHeight="1" x14ac:dyDescent="0.25">
      <c r="A37" s="16" t="s">
        <v>104</v>
      </c>
      <c r="B37" s="16" t="s">
        <v>118</v>
      </c>
      <c r="C37" s="16" t="s">
        <v>503</v>
      </c>
      <c r="D37" s="17" t="s">
        <v>164</v>
      </c>
      <c r="E37" s="158" t="s">
        <v>333</v>
      </c>
      <c r="F37" s="158" t="s">
        <v>497</v>
      </c>
      <c r="G37" s="19"/>
      <c r="H37" s="20">
        <v>1</v>
      </c>
      <c r="I37" s="21">
        <v>7</v>
      </c>
      <c r="J37" s="21">
        <v>0</v>
      </c>
      <c r="K37" s="21">
        <v>0</v>
      </c>
      <c r="L37" s="21">
        <v>0</v>
      </c>
      <c r="M37" s="21">
        <v>0</v>
      </c>
      <c r="N37" s="21">
        <v>0</v>
      </c>
      <c r="O37" s="21">
        <v>0</v>
      </c>
      <c r="P37" s="21">
        <v>0</v>
      </c>
      <c r="Q37" s="21">
        <v>0</v>
      </c>
      <c r="R37" s="21">
        <v>0</v>
      </c>
      <c r="S37" s="21">
        <v>0</v>
      </c>
      <c r="T37" s="21">
        <v>0</v>
      </c>
      <c r="U37" s="21">
        <v>0</v>
      </c>
      <c r="V37" s="21">
        <v>0</v>
      </c>
      <c r="W37" s="21">
        <v>0</v>
      </c>
      <c r="X37" s="21">
        <v>0</v>
      </c>
      <c r="Y37" s="21">
        <v>0</v>
      </c>
      <c r="Z37" s="21">
        <v>0</v>
      </c>
      <c r="AA37" s="21">
        <v>0</v>
      </c>
      <c r="AB37" s="21">
        <v>0</v>
      </c>
      <c r="AC37" s="21">
        <v>0</v>
      </c>
      <c r="AD37" s="21">
        <v>0</v>
      </c>
      <c r="AE37" s="21">
        <v>0</v>
      </c>
      <c r="AF37" s="21">
        <v>0</v>
      </c>
      <c r="AG37" s="21">
        <v>0</v>
      </c>
      <c r="AH37" s="21">
        <v>0</v>
      </c>
      <c r="AI37" s="21">
        <v>0</v>
      </c>
      <c r="AJ37" s="21">
        <v>0</v>
      </c>
      <c r="AK37" s="21">
        <v>0</v>
      </c>
      <c r="AL37" s="21">
        <v>0</v>
      </c>
      <c r="AM37" s="21">
        <v>0</v>
      </c>
      <c r="AN37" s="21">
        <v>0</v>
      </c>
      <c r="AO37" s="21">
        <v>0</v>
      </c>
      <c r="AP37" s="21">
        <v>0</v>
      </c>
      <c r="AQ37" s="21">
        <v>0</v>
      </c>
      <c r="AR37" s="21">
        <v>0</v>
      </c>
      <c r="AS37" s="21">
        <v>0</v>
      </c>
      <c r="AT37" s="21">
        <v>0</v>
      </c>
      <c r="AU37" s="21">
        <v>0</v>
      </c>
      <c r="AV37" s="21">
        <v>0</v>
      </c>
      <c r="AW37" s="21">
        <v>0</v>
      </c>
      <c r="AX37" s="21">
        <v>0</v>
      </c>
      <c r="AY37" s="21">
        <v>0</v>
      </c>
      <c r="AZ37" s="22">
        <v>0</v>
      </c>
      <c r="BA37" s="22" t="e">
        <f>MAX(#REF!-AZ37,0)</f>
        <v>#REF!</v>
      </c>
      <c r="BB37" s="23" t="e">
        <f>IF(SUMPRODUCT($J$85:BA$85,$J37:BA37)&lt;0.5, "Pending", IF(BA37&lt;0.5, "Complete", "In Progress"))</f>
        <v>#REF!</v>
      </c>
      <c r="BC37" s="22">
        <v>0</v>
      </c>
      <c r="BD37" s="22" t="e">
        <f t="shared" si="0"/>
        <v>#REF!</v>
      </c>
      <c r="BE37" s="23" t="e">
        <f>IF(SUMPRODUCT($J$85:BD$85,$J37:BD37)&lt;0.5, "Pending", IF(BD37&lt;0.5, "Complete", "In Progress"))</f>
        <v>#REF!</v>
      </c>
      <c r="BF37" s="22">
        <v>0</v>
      </c>
      <c r="BG37" s="22" t="e">
        <f t="shared" si="1"/>
        <v>#REF!</v>
      </c>
      <c r="BH37" s="23" t="e">
        <f>IF(SUMPRODUCT($J$85:BG$85,$J37:BG37)&lt;0.5, "Pending", IF(BG37&lt;0.5, "Complete", "In Progress"))</f>
        <v>#REF!</v>
      </c>
      <c r="BI37" s="22">
        <v>0</v>
      </c>
      <c r="BJ37" s="22" t="e">
        <f t="shared" si="2"/>
        <v>#REF!</v>
      </c>
      <c r="BK37" s="23" t="e">
        <f>IF(SUMPRODUCT($J$85:BJ$85,$J37:BJ37)&lt;0.5, "Pending", IF(BJ37&lt;0.5, "Complete", "In Progress"))</f>
        <v>#REF!</v>
      </c>
      <c r="BL37" s="22">
        <v>0</v>
      </c>
      <c r="BM37" s="22" t="e">
        <f t="shared" si="3"/>
        <v>#REF!</v>
      </c>
      <c r="BN37" s="23" t="e">
        <f>IF(SUMPRODUCT($J$85:BM$85,$J37:BM37)&lt;0.5, "Pending", IF(BM37&lt;0.5, "Complete", "In Progress"))</f>
        <v>#REF!</v>
      </c>
      <c r="BO37" s="22">
        <v>0</v>
      </c>
      <c r="BP37" s="22" t="e">
        <f t="shared" si="4"/>
        <v>#REF!</v>
      </c>
      <c r="BQ37" s="23" t="e">
        <f>IF(SUMPRODUCT($J$85:BP$85,$J37:BP37)&lt;0.5, "Pending", IF(BP37&lt;0.5, "Complete", "In Progress"))</f>
        <v>#REF!</v>
      </c>
      <c r="BR37" s="22">
        <v>0</v>
      </c>
      <c r="BS37" s="22" t="e">
        <f t="shared" si="5"/>
        <v>#REF!</v>
      </c>
      <c r="BT37" s="23" t="e">
        <f>IF(SUMPRODUCT($J$85:BS$85,$J37:BS37)&lt;0.5, "Pending", IF(BS37&lt;0.5, "Complete", "In Progress"))</f>
        <v>#REF!</v>
      </c>
      <c r="BU37" s="22">
        <v>0</v>
      </c>
      <c r="BV37" s="22" t="e">
        <f t="shared" si="6"/>
        <v>#REF!</v>
      </c>
      <c r="BW37" s="23" t="e">
        <f>IF(SUMPRODUCT($J$85:BV$85,$J37:BV37)&lt;0.5, "Pending", IF(BV37&lt;0.5, "Complete", "In Progress"))</f>
        <v>#REF!</v>
      </c>
      <c r="BX37" s="22">
        <v>0</v>
      </c>
      <c r="BY37" s="22" t="e">
        <f t="shared" si="7"/>
        <v>#REF!</v>
      </c>
      <c r="BZ37" s="23" t="e">
        <f>IF(SUMPRODUCT($J$85:BY$85,$J37:BY37)&lt;0.5, "Pending", IF(BY37&lt;0.5, "Complete", "In Progress"))</f>
        <v>#REF!</v>
      </c>
      <c r="CA37" s="22">
        <v>0</v>
      </c>
      <c r="CB37" s="22" t="e">
        <f t="shared" si="8"/>
        <v>#REF!</v>
      </c>
      <c r="CC37" s="23" t="e">
        <f>IF(SUMPRODUCT($J$85:CB$85,$J37:CB37)&lt;0.5, "Pending", IF(CB37&lt;0.5, "Complete", "In Progress"))</f>
        <v>#REF!</v>
      </c>
      <c r="CD37" s="24"/>
      <c r="CE37" s="25">
        <f>SUMPRODUCT($H$85:AY$85,$H37:AY37)</f>
        <v>50</v>
      </c>
    </row>
    <row r="38" spans="1:83" ht="13.8" customHeight="1" x14ac:dyDescent="0.25">
      <c r="A38" s="16" t="s">
        <v>103</v>
      </c>
      <c r="B38" s="16" t="s">
        <v>117</v>
      </c>
      <c r="C38" s="16" t="s">
        <v>503</v>
      </c>
      <c r="D38" s="17" t="s">
        <v>165</v>
      </c>
      <c r="E38" s="158" t="s">
        <v>319</v>
      </c>
      <c r="F38" s="158" t="s">
        <v>498</v>
      </c>
      <c r="G38" s="19"/>
      <c r="H38" s="20">
        <v>1</v>
      </c>
      <c r="I38" s="21">
        <v>7</v>
      </c>
      <c r="J38" s="21">
        <v>0</v>
      </c>
      <c r="K38" s="21">
        <v>0</v>
      </c>
      <c r="L38" s="21">
        <v>0</v>
      </c>
      <c r="M38" s="21">
        <v>0</v>
      </c>
      <c r="N38" s="21">
        <v>0</v>
      </c>
      <c r="O38" s="21">
        <v>0</v>
      </c>
      <c r="P38" s="21">
        <v>0</v>
      </c>
      <c r="Q38" s="21">
        <v>0</v>
      </c>
      <c r="R38" s="21">
        <v>0</v>
      </c>
      <c r="S38" s="21">
        <v>0</v>
      </c>
      <c r="T38" s="21">
        <v>0</v>
      </c>
      <c r="U38" s="21">
        <v>0</v>
      </c>
      <c r="V38" s="21">
        <v>0</v>
      </c>
      <c r="W38" s="21">
        <v>0</v>
      </c>
      <c r="X38" s="21">
        <v>0</v>
      </c>
      <c r="Y38" s="21">
        <v>0</v>
      </c>
      <c r="Z38" s="21">
        <v>0</v>
      </c>
      <c r="AA38" s="21">
        <v>0</v>
      </c>
      <c r="AB38" s="21">
        <v>0</v>
      </c>
      <c r="AC38" s="21">
        <v>0</v>
      </c>
      <c r="AD38" s="21">
        <v>0</v>
      </c>
      <c r="AE38" s="21">
        <v>0</v>
      </c>
      <c r="AF38" s="21">
        <v>0</v>
      </c>
      <c r="AG38" s="21">
        <v>0</v>
      </c>
      <c r="AH38" s="21">
        <v>0</v>
      </c>
      <c r="AI38" s="21">
        <v>0</v>
      </c>
      <c r="AJ38" s="21">
        <v>0</v>
      </c>
      <c r="AK38" s="21">
        <v>0</v>
      </c>
      <c r="AL38" s="21">
        <v>0</v>
      </c>
      <c r="AM38" s="21">
        <v>0</v>
      </c>
      <c r="AN38" s="21">
        <v>0</v>
      </c>
      <c r="AO38" s="21">
        <v>0</v>
      </c>
      <c r="AP38" s="21">
        <v>0</v>
      </c>
      <c r="AQ38" s="21">
        <v>0</v>
      </c>
      <c r="AR38" s="21">
        <v>0</v>
      </c>
      <c r="AS38" s="21">
        <v>0</v>
      </c>
      <c r="AT38" s="21">
        <v>0</v>
      </c>
      <c r="AU38" s="21">
        <v>0</v>
      </c>
      <c r="AV38" s="21">
        <v>0</v>
      </c>
      <c r="AW38" s="21">
        <v>0</v>
      </c>
      <c r="AX38" s="21">
        <v>0</v>
      </c>
      <c r="AY38" s="21">
        <v>0</v>
      </c>
      <c r="AZ38" s="22">
        <v>0</v>
      </c>
      <c r="BA38" s="22" t="e">
        <f>MAX(#REF!-AZ38,0)</f>
        <v>#REF!</v>
      </c>
      <c r="BB38" s="23" t="e">
        <f>IF(SUMPRODUCT($J$85:BA$85,$J38:BA38)&lt;0.5, "Pending", IF(BA38&lt;0.5, "Complete", "In Progress"))</f>
        <v>#REF!</v>
      </c>
      <c r="BC38" s="22">
        <v>0</v>
      </c>
      <c r="BD38" s="22" t="e">
        <f t="shared" si="0"/>
        <v>#REF!</v>
      </c>
      <c r="BE38" s="23" t="e">
        <f>IF(SUMPRODUCT($J$85:BD$85,$J38:BD38)&lt;0.5, "Pending", IF(BD38&lt;0.5, "Complete", "In Progress"))</f>
        <v>#REF!</v>
      </c>
      <c r="BF38" s="22">
        <v>0</v>
      </c>
      <c r="BG38" s="22" t="e">
        <f t="shared" si="1"/>
        <v>#REF!</v>
      </c>
      <c r="BH38" s="23" t="e">
        <f>IF(SUMPRODUCT($J$85:BG$85,$J38:BG38)&lt;0.5, "Pending", IF(BG38&lt;0.5, "Complete", "In Progress"))</f>
        <v>#REF!</v>
      </c>
      <c r="BI38" s="22">
        <v>0</v>
      </c>
      <c r="BJ38" s="22" t="e">
        <f t="shared" si="2"/>
        <v>#REF!</v>
      </c>
      <c r="BK38" s="23" t="e">
        <f>IF(SUMPRODUCT($J$85:BJ$85,$J38:BJ38)&lt;0.5, "Pending", IF(BJ38&lt;0.5, "Complete", "In Progress"))</f>
        <v>#REF!</v>
      </c>
      <c r="BL38" s="22">
        <v>0</v>
      </c>
      <c r="BM38" s="22" t="e">
        <f t="shared" si="3"/>
        <v>#REF!</v>
      </c>
      <c r="BN38" s="23" t="e">
        <f>IF(SUMPRODUCT($J$85:BM$85,$J38:BM38)&lt;0.5, "Pending", IF(BM38&lt;0.5, "Complete", "In Progress"))</f>
        <v>#REF!</v>
      </c>
      <c r="BO38" s="22">
        <v>0</v>
      </c>
      <c r="BP38" s="22" t="e">
        <f t="shared" si="4"/>
        <v>#REF!</v>
      </c>
      <c r="BQ38" s="23" t="e">
        <f>IF(SUMPRODUCT($J$85:BP$85,$J38:BP38)&lt;0.5, "Pending", IF(BP38&lt;0.5, "Complete", "In Progress"))</f>
        <v>#REF!</v>
      </c>
      <c r="BR38" s="22">
        <v>0</v>
      </c>
      <c r="BS38" s="22" t="e">
        <f t="shared" si="5"/>
        <v>#REF!</v>
      </c>
      <c r="BT38" s="23" t="e">
        <f>IF(SUMPRODUCT($J$85:BS$85,$J38:BS38)&lt;0.5, "Pending", IF(BS38&lt;0.5, "Complete", "In Progress"))</f>
        <v>#REF!</v>
      </c>
      <c r="BU38" s="22">
        <v>0</v>
      </c>
      <c r="BV38" s="22" t="e">
        <f t="shared" si="6"/>
        <v>#REF!</v>
      </c>
      <c r="BW38" s="23" t="e">
        <f>IF(SUMPRODUCT($J$85:BV$85,$J38:BV38)&lt;0.5, "Pending", IF(BV38&lt;0.5, "Complete", "In Progress"))</f>
        <v>#REF!</v>
      </c>
      <c r="BX38" s="22">
        <v>0</v>
      </c>
      <c r="BY38" s="22" t="e">
        <f t="shared" si="7"/>
        <v>#REF!</v>
      </c>
      <c r="BZ38" s="23" t="e">
        <f>IF(SUMPRODUCT($J$85:BY$85,$J38:BY38)&lt;0.5, "Pending", IF(BY38&lt;0.5, "Complete", "In Progress"))</f>
        <v>#REF!</v>
      </c>
      <c r="CA38" s="22">
        <v>0</v>
      </c>
      <c r="CB38" s="22" t="e">
        <f t="shared" si="8"/>
        <v>#REF!</v>
      </c>
      <c r="CC38" s="23" t="e">
        <f>IF(SUMPRODUCT($J$85:CB$85,$J38:CB38)&lt;0.5, "Pending", IF(CB38&lt;0.5, "Complete", "In Progress"))</f>
        <v>#REF!</v>
      </c>
      <c r="CD38" s="24"/>
      <c r="CE38" s="25">
        <f>SUMPRODUCT($H$85:AY$85,$H38:AY38)</f>
        <v>50</v>
      </c>
    </row>
    <row r="39" spans="1:83" ht="13.8" customHeight="1" x14ac:dyDescent="0.25">
      <c r="A39" s="16" t="s">
        <v>103</v>
      </c>
      <c r="B39" s="16" t="s">
        <v>116</v>
      </c>
      <c r="C39" s="16" t="s">
        <v>503</v>
      </c>
      <c r="D39" s="17" t="s">
        <v>166</v>
      </c>
      <c r="E39" s="158" t="s">
        <v>334</v>
      </c>
      <c r="F39" s="158" t="s">
        <v>496</v>
      </c>
      <c r="G39" s="19"/>
      <c r="H39" s="20">
        <v>1</v>
      </c>
      <c r="I39" s="21">
        <v>7</v>
      </c>
      <c r="J39" s="21">
        <v>0</v>
      </c>
      <c r="K39" s="21">
        <v>0</v>
      </c>
      <c r="L39" s="21">
        <v>0</v>
      </c>
      <c r="M39" s="21">
        <v>0</v>
      </c>
      <c r="N39" s="21">
        <v>0</v>
      </c>
      <c r="O39" s="21">
        <v>0</v>
      </c>
      <c r="P39" s="21">
        <v>0</v>
      </c>
      <c r="Q39" s="21">
        <v>0</v>
      </c>
      <c r="R39" s="21">
        <v>0</v>
      </c>
      <c r="S39" s="21">
        <v>0</v>
      </c>
      <c r="T39" s="21">
        <v>0</v>
      </c>
      <c r="U39" s="21">
        <v>0</v>
      </c>
      <c r="V39" s="21">
        <v>0</v>
      </c>
      <c r="W39" s="21">
        <v>0</v>
      </c>
      <c r="X39" s="21">
        <v>0</v>
      </c>
      <c r="Y39" s="21">
        <v>0</v>
      </c>
      <c r="Z39" s="21">
        <v>0</v>
      </c>
      <c r="AA39" s="21">
        <v>0</v>
      </c>
      <c r="AB39" s="21">
        <v>0</v>
      </c>
      <c r="AC39" s="21">
        <v>0</v>
      </c>
      <c r="AD39" s="21">
        <v>0</v>
      </c>
      <c r="AE39" s="21">
        <v>0</v>
      </c>
      <c r="AF39" s="21">
        <v>0</v>
      </c>
      <c r="AG39" s="21">
        <v>0</v>
      </c>
      <c r="AH39" s="21">
        <v>0</v>
      </c>
      <c r="AI39" s="21">
        <v>0</v>
      </c>
      <c r="AJ39" s="21">
        <v>0</v>
      </c>
      <c r="AK39" s="21">
        <v>0</v>
      </c>
      <c r="AL39" s="21">
        <v>0</v>
      </c>
      <c r="AM39" s="21">
        <v>0</v>
      </c>
      <c r="AN39" s="21">
        <v>0</v>
      </c>
      <c r="AO39" s="21">
        <v>0</v>
      </c>
      <c r="AP39" s="21">
        <v>0</v>
      </c>
      <c r="AQ39" s="21">
        <v>0</v>
      </c>
      <c r="AR39" s="21">
        <v>0</v>
      </c>
      <c r="AS39" s="21">
        <v>0</v>
      </c>
      <c r="AT39" s="21">
        <v>0</v>
      </c>
      <c r="AU39" s="21">
        <v>0</v>
      </c>
      <c r="AV39" s="21">
        <v>0</v>
      </c>
      <c r="AW39" s="21">
        <v>0</v>
      </c>
      <c r="AX39" s="21">
        <v>0</v>
      </c>
      <c r="AY39" s="21">
        <v>0</v>
      </c>
      <c r="AZ39" s="22">
        <v>0</v>
      </c>
      <c r="BA39" s="22" t="e">
        <f>MAX(#REF!-AZ39,0)</f>
        <v>#REF!</v>
      </c>
      <c r="BB39" s="23" t="e">
        <f>IF(SUMPRODUCT($J$85:BA$85,$J39:BA39)&lt;0.5, "Pending", IF(BA39&lt;0.5, "Complete", "In Progress"))</f>
        <v>#REF!</v>
      </c>
      <c r="BC39" s="22">
        <v>0</v>
      </c>
      <c r="BD39" s="22" t="e">
        <f t="shared" si="0"/>
        <v>#REF!</v>
      </c>
      <c r="BE39" s="23" t="e">
        <f>IF(SUMPRODUCT($J$85:BD$85,$J39:BD39)&lt;0.5, "Pending", IF(BD39&lt;0.5, "Complete", "In Progress"))</f>
        <v>#REF!</v>
      </c>
      <c r="BF39" s="22">
        <v>0</v>
      </c>
      <c r="BG39" s="22" t="e">
        <f t="shared" si="1"/>
        <v>#REF!</v>
      </c>
      <c r="BH39" s="23" t="e">
        <f>IF(SUMPRODUCT($J$85:BG$85,$J39:BG39)&lt;0.5, "Pending", IF(BG39&lt;0.5, "Complete", "In Progress"))</f>
        <v>#REF!</v>
      </c>
      <c r="BI39" s="22">
        <v>0</v>
      </c>
      <c r="BJ39" s="22" t="e">
        <f t="shared" si="2"/>
        <v>#REF!</v>
      </c>
      <c r="BK39" s="23" t="e">
        <f>IF(SUMPRODUCT($J$85:BJ$85,$J39:BJ39)&lt;0.5, "Pending", IF(BJ39&lt;0.5, "Complete", "In Progress"))</f>
        <v>#REF!</v>
      </c>
      <c r="BL39" s="22">
        <v>0</v>
      </c>
      <c r="BM39" s="22" t="e">
        <f t="shared" si="3"/>
        <v>#REF!</v>
      </c>
      <c r="BN39" s="23" t="e">
        <f>IF(SUMPRODUCT($J$85:BM$85,$J39:BM39)&lt;0.5, "Pending", IF(BM39&lt;0.5, "Complete", "In Progress"))</f>
        <v>#REF!</v>
      </c>
      <c r="BO39" s="22">
        <v>0</v>
      </c>
      <c r="BP39" s="22" t="e">
        <f t="shared" si="4"/>
        <v>#REF!</v>
      </c>
      <c r="BQ39" s="23" t="e">
        <f>IF(SUMPRODUCT($J$85:BP$85,$J39:BP39)&lt;0.5, "Pending", IF(BP39&lt;0.5, "Complete", "In Progress"))</f>
        <v>#REF!</v>
      </c>
      <c r="BR39" s="22">
        <v>0</v>
      </c>
      <c r="BS39" s="22" t="e">
        <f t="shared" si="5"/>
        <v>#REF!</v>
      </c>
      <c r="BT39" s="23" t="e">
        <f>IF(SUMPRODUCT($J$85:BS$85,$J39:BS39)&lt;0.5, "Pending", IF(BS39&lt;0.5, "Complete", "In Progress"))</f>
        <v>#REF!</v>
      </c>
      <c r="BU39" s="22">
        <v>0</v>
      </c>
      <c r="BV39" s="22" t="e">
        <f t="shared" si="6"/>
        <v>#REF!</v>
      </c>
      <c r="BW39" s="23" t="e">
        <f>IF(SUMPRODUCT($J$85:BV$85,$J39:BV39)&lt;0.5, "Pending", IF(BV39&lt;0.5, "Complete", "In Progress"))</f>
        <v>#REF!</v>
      </c>
      <c r="BX39" s="22">
        <v>0</v>
      </c>
      <c r="BY39" s="22" t="e">
        <f t="shared" si="7"/>
        <v>#REF!</v>
      </c>
      <c r="BZ39" s="23" t="e">
        <f>IF(SUMPRODUCT($J$85:BY$85,$J39:BY39)&lt;0.5, "Pending", IF(BY39&lt;0.5, "Complete", "In Progress"))</f>
        <v>#REF!</v>
      </c>
      <c r="CA39" s="22">
        <v>0</v>
      </c>
      <c r="CB39" s="22" t="e">
        <f t="shared" si="8"/>
        <v>#REF!</v>
      </c>
      <c r="CC39" s="23" t="e">
        <f>IF(SUMPRODUCT($J$85:CB$85,$J39:CB39)&lt;0.5, "Pending", IF(CB39&lt;0.5, "Complete", "In Progress"))</f>
        <v>#REF!</v>
      </c>
      <c r="CD39" s="24"/>
      <c r="CE39" s="25">
        <f>SUMPRODUCT($H$85:AY$85,$H39:AY39)</f>
        <v>50</v>
      </c>
    </row>
    <row r="40" spans="1:83" ht="13.8" customHeight="1" x14ac:dyDescent="0.25">
      <c r="A40" s="16" t="s">
        <v>103</v>
      </c>
      <c r="B40" s="16" t="s">
        <v>117</v>
      </c>
      <c r="C40" s="16" t="s">
        <v>503</v>
      </c>
      <c r="D40" s="17" t="s">
        <v>167</v>
      </c>
      <c r="E40" s="158" t="s">
        <v>335</v>
      </c>
      <c r="F40" s="158" t="s">
        <v>495</v>
      </c>
      <c r="G40" s="169"/>
      <c r="H40" s="20">
        <v>1</v>
      </c>
      <c r="I40" s="21">
        <v>7</v>
      </c>
      <c r="J40" s="21">
        <v>0</v>
      </c>
      <c r="K40" s="21">
        <v>0</v>
      </c>
      <c r="L40" s="21">
        <v>0</v>
      </c>
      <c r="M40" s="21">
        <v>0</v>
      </c>
      <c r="N40" s="21">
        <v>0</v>
      </c>
      <c r="O40" s="21">
        <v>0</v>
      </c>
      <c r="P40" s="21">
        <v>0</v>
      </c>
      <c r="Q40" s="21">
        <v>0</v>
      </c>
      <c r="R40" s="21">
        <v>0</v>
      </c>
      <c r="S40" s="21">
        <v>0</v>
      </c>
      <c r="T40" s="21">
        <v>0</v>
      </c>
      <c r="U40" s="21">
        <v>0</v>
      </c>
      <c r="V40" s="21">
        <v>0</v>
      </c>
      <c r="W40" s="21">
        <v>0</v>
      </c>
      <c r="X40" s="21">
        <v>0</v>
      </c>
      <c r="Y40" s="21">
        <v>0</v>
      </c>
      <c r="Z40" s="21">
        <v>0</v>
      </c>
      <c r="AA40" s="21">
        <v>0</v>
      </c>
      <c r="AB40" s="21">
        <v>0</v>
      </c>
      <c r="AC40" s="21">
        <v>0</v>
      </c>
      <c r="AD40" s="21">
        <v>0</v>
      </c>
      <c r="AE40" s="21">
        <v>0</v>
      </c>
      <c r="AF40" s="21">
        <v>0</v>
      </c>
      <c r="AG40" s="21">
        <v>0</v>
      </c>
      <c r="AH40" s="21">
        <v>0</v>
      </c>
      <c r="AI40" s="21">
        <v>0</v>
      </c>
      <c r="AJ40" s="21">
        <v>0</v>
      </c>
      <c r="AK40" s="21">
        <v>0</v>
      </c>
      <c r="AL40" s="21">
        <v>0</v>
      </c>
      <c r="AM40" s="21">
        <v>0</v>
      </c>
      <c r="AN40" s="21">
        <v>0</v>
      </c>
      <c r="AO40" s="21">
        <v>0</v>
      </c>
      <c r="AP40" s="21">
        <v>0</v>
      </c>
      <c r="AQ40" s="21">
        <v>0</v>
      </c>
      <c r="AR40" s="21">
        <v>0</v>
      </c>
      <c r="AS40" s="21">
        <v>0</v>
      </c>
      <c r="AT40" s="21">
        <v>0</v>
      </c>
      <c r="AU40" s="21">
        <v>0</v>
      </c>
      <c r="AV40" s="21">
        <v>0</v>
      </c>
      <c r="AW40" s="21">
        <v>0</v>
      </c>
      <c r="AX40" s="21">
        <v>0</v>
      </c>
      <c r="AY40" s="21">
        <v>0</v>
      </c>
      <c r="AZ40" s="22">
        <v>0</v>
      </c>
      <c r="BA40" s="22" t="e">
        <f>MAX(#REF!-AZ40,0)</f>
        <v>#REF!</v>
      </c>
      <c r="BB40" s="23" t="e">
        <f>IF(SUMPRODUCT($J$85:BA$85,$J40:BA40)&lt;0.5, "Pending", IF(BA40&lt;0.5, "Complete", "In Progress"))</f>
        <v>#REF!</v>
      </c>
      <c r="BC40" s="22">
        <v>0</v>
      </c>
      <c r="BD40" s="22" t="e">
        <f t="shared" si="0"/>
        <v>#REF!</v>
      </c>
      <c r="BE40" s="23" t="e">
        <f>IF(SUMPRODUCT($J$85:BD$85,$J40:BD40)&lt;0.5, "Pending", IF(BD40&lt;0.5, "Complete", "In Progress"))</f>
        <v>#REF!</v>
      </c>
      <c r="BF40" s="22">
        <v>0</v>
      </c>
      <c r="BG40" s="22" t="e">
        <f t="shared" si="1"/>
        <v>#REF!</v>
      </c>
      <c r="BH40" s="23" t="e">
        <f>IF(SUMPRODUCT($J$85:BG$85,$J40:BG40)&lt;0.5, "Pending", IF(BG40&lt;0.5, "Complete", "In Progress"))</f>
        <v>#REF!</v>
      </c>
      <c r="BI40" s="22">
        <v>0</v>
      </c>
      <c r="BJ40" s="22" t="e">
        <f t="shared" si="2"/>
        <v>#REF!</v>
      </c>
      <c r="BK40" s="23" t="e">
        <f>IF(SUMPRODUCT($J$85:BJ$85,$J40:BJ40)&lt;0.5, "Pending", IF(BJ40&lt;0.5, "Complete", "In Progress"))</f>
        <v>#REF!</v>
      </c>
      <c r="BL40" s="22">
        <v>0</v>
      </c>
      <c r="BM40" s="22" t="e">
        <f t="shared" si="3"/>
        <v>#REF!</v>
      </c>
      <c r="BN40" s="23" t="e">
        <f>IF(SUMPRODUCT($J$85:BM$85,$J40:BM40)&lt;0.5, "Pending", IF(BM40&lt;0.5, "Complete", "In Progress"))</f>
        <v>#REF!</v>
      </c>
      <c r="BO40" s="22">
        <v>0</v>
      </c>
      <c r="BP40" s="22" t="e">
        <f t="shared" si="4"/>
        <v>#REF!</v>
      </c>
      <c r="BQ40" s="23" t="e">
        <f>IF(SUMPRODUCT($J$85:BP$85,$J40:BP40)&lt;0.5, "Pending", IF(BP40&lt;0.5, "Complete", "In Progress"))</f>
        <v>#REF!</v>
      </c>
      <c r="BR40" s="22">
        <v>0</v>
      </c>
      <c r="BS40" s="22" t="e">
        <f t="shared" si="5"/>
        <v>#REF!</v>
      </c>
      <c r="BT40" s="23" t="e">
        <f>IF(SUMPRODUCT($J$85:BS$85,$J40:BS40)&lt;0.5, "Pending", IF(BS40&lt;0.5, "Complete", "In Progress"))</f>
        <v>#REF!</v>
      </c>
      <c r="BU40" s="22">
        <v>0</v>
      </c>
      <c r="BV40" s="22" t="e">
        <f t="shared" si="6"/>
        <v>#REF!</v>
      </c>
      <c r="BW40" s="23" t="e">
        <f>IF(SUMPRODUCT($J$85:BV$85,$J40:BV40)&lt;0.5, "Pending", IF(BV40&lt;0.5, "Complete", "In Progress"))</f>
        <v>#REF!</v>
      </c>
      <c r="BX40" s="22">
        <v>0</v>
      </c>
      <c r="BY40" s="22" t="e">
        <f t="shared" si="7"/>
        <v>#REF!</v>
      </c>
      <c r="BZ40" s="23" t="e">
        <f>IF(SUMPRODUCT($J$85:BY$85,$J40:BY40)&lt;0.5, "Pending", IF(BY40&lt;0.5, "Complete", "In Progress"))</f>
        <v>#REF!</v>
      </c>
      <c r="CA40" s="22">
        <v>0</v>
      </c>
      <c r="CB40" s="22" t="e">
        <f t="shared" si="8"/>
        <v>#REF!</v>
      </c>
      <c r="CC40" s="23" t="e">
        <f>IF(SUMPRODUCT($J$85:CB$85,$J40:CB40)&lt;0.5, "Pending", IF(CB40&lt;0.5, "Complete", "In Progress"))</f>
        <v>#REF!</v>
      </c>
      <c r="CD40" s="24"/>
      <c r="CE40" s="25">
        <f>SUMPRODUCT($H$85:AY$85,$H40:AY40)</f>
        <v>50</v>
      </c>
    </row>
    <row r="41" spans="1:83" ht="13.8" customHeight="1" x14ac:dyDescent="0.25">
      <c r="A41" s="16" t="s">
        <v>103</v>
      </c>
      <c r="B41" s="16" t="s">
        <v>117</v>
      </c>
      <c r="C41" s="16" t="s">
        <v>503</v>
      </c>
      <c r="D41" s="17" t="s">
        <v>168</v>
      </c>
      <c r="E41" s="158" t="s">
        <v>336</v>
      </c>
      <c r="F41" s="158" t="s">
        <v>493</v>
      </c>
      <c r="G41" s="168"/>
      <c r="H41" s="20">
        <v>1</v>
      </c>
      <c r="I41" s="21">
        <v>56</v>
      </c>
      <c r="J41" s="21">
        <v>0</v>
      </c>
      <c r="K41" s="21">
        <v>0</v>
      </c>
      <c r="L41" s="21">
        <v>0</v>
      </c>
      <c r="M41" s="21">
        <v>0</v>
      </c>
      <c r="N41" s="21">
        <v>0</v>
      </c>
      <c r="O41" s="21">
        <v>0</v>
      </c>
      <c r="P41" s="21">
        <v>0</v>
      </c>
      <c r="Q41" s="21">
        <v>0</v>
      </c>
      <c r="R41" s="21">
        <v>0</v>
      </c>
      <c r="S41" s="21">
        <v>0</v>
      </c>
      <c r="T41" s="21">
        <v>0</v>
      </c>
      <c r="U41" s="21">
        <v>0</v>
      </c>
      <c r="V41" s="21">
        <v>0</v>
      </c>
      <c r="W41" s="21">
        <v>0</v>
      </c>
      <c r="X41" s="21">
        <v>0</v>
      </c>
      <c r="Y41" s="21">
        <v>0</v>
      </c>
      <c r="Z41" s="21">
        <v>0</v>
      </c>
      <c r="AA41" s="21">
        <v>0</v>
      </c>
      <c r="AB41" s="21">
        <v>0</v>
      </c>
      <c r="AC41" s="21">
        <v>0</v>
      </c>
      <c r="AD41" s="21">
        <v>0</v>
      </c>
      <c r="AE41" s="21">
        <v>0</v>
      </c>
      <c r="AF41" s="21">
        <v>0</v>
      </c>
      <c r="AG41" s="21">
        <v>0</v>
      </c>
      <c r="AH41" s="21">
        <v>0</v>
      </c>
      <c r="AI41" s="21">
        <v>0</v>
      </c>
      <c r="AJ41" s="21">
        <v>0</v>
      </c>
      <c r="AK41" s="21">
        <v>0</v>
      </c>
      <c r="AL41" s="21">
        <v>0</v>
      </c>
      <c r="AM41" s="21">
        <v>0</v>
      </c>
      <c r="AN41" s="21">
        <v>0</v>
      </c>
      <c r="AO41" s="21">
        <v>0</v>
      </c>
      <c r="AP41" s="21">
        <v>0</v>
      </c>
      <c r="AQ41" s="21">
        <v>0</v>
      </c>
      <c r="AR41" s="21">
        <v>0</v>
      </c>
      <c r="AS41" s="21">
        <v>0</v>
      </c>
      <c r="AT41" s="21">
        <v>0</v>
      </c>
      <c r="AU41" s="21">
        <v>0</v>
      </c>
      <c r="AV41" s="21">
        <v>0</v>
      </c>
      <c r="AW41" s="21">
        <v>0</v>
      </c>
      <c r="AX41" s="21">
        <v>0</v>
      </c>
      <c r="AY41" s="21">
        <v>0</v>
      </c>
      <c r="AZ41" s="22">
        <v>0</v>
      </c>
      <c r="BA41" s="22" t="e">
        <f>MAX(#REF!-AZ41,0)</f>
        <v>#REF!</v>
      </c>
      <c r="BB41" s="23" t="e">
        <f>IF(SUMPRODUCT($J$85:BA$85,$J41:BA41)&lt;0.5, "Pending", IF(BA41&lt;0.5, "Complete", "In Progress"))</f>
        <v>#REF!</v>
      </c>
      <c r="BC41" s="22">
        <v>0</v>
      </c>
      <c r="BD41" s="22" t="e">
        <f t="shared" si="0"/>
        <v>#REF!</v>
      </c>
      <c r="BE41" s="23" t="e">
        <f>IF(SUMPRODUCT($J$85:BD$85,$J41:BD41)&lt;0.5, "Pending", IF(BD41&lt;0.5, "Complete", "In Progress"))</f>
        <v>#REF!</v>
      </c>
      <c r="BF41" s="22">
        <v>0</v>
      </c>
      <c r="BG41" s="22" t="e">
        <f t="shared" si="1"/>
        <v>#REF!</v>
      </c>
      <c r="BH41" s="23" t="e">
        <f>IF(SUMPRODUCT($J$85:BG$85,$J41:BG41)&lt;0.5, "Pending", IF(BG41&lt;0.5, "Complete", "In Progress"))</f>
        <v>#REF!</v>
      </c>
      <c r="BI41" s="22">
        <v>0</v>
      </c>
      <c r="BJ41" s="22" t="e">
        <f t="shared" si="2"/>
        <v>#REF!</v>
      </c>
      <c r="BK41" s="23" t="e">
        <f>IF(SUMPRODUCT($J$85:BJ$85,$J41:BJ41)&lt;0.5, "Pending", IF(BJ41&lt;0.5, "Complete", "In Progress"))</f>
        <v>#REF!</v>
      </c>
      <c r="BL41" s="22">
        <v>0</v>
      </c>
      <c r="BM41" s="22" t="e">
        <f t="shared" si="3"/>
        <v>#REF!</v>
      </c>
      <c r="BN41" s="23" t="e">
        <f>IF(SUMPRODUCT($J$85:BM$85,$J41:BM41)&lt;0.5, "Pending", IF(BM41&lt;0.5, "Complete", "In Progress"))</f>
        <v>#REF!</v>
      </c>
      <c r="BO41" s="22">
        <v>0</v>
      </c>
      <c r="BP41" s="22" t="e">
        <f t="shared" si="4"/>
        <v>#REF!</v>
      </c>
      <c r="BQ41" s="23" t="e">
        <f>IF(SUMPRODUCT($J$85:BP$85,$J41:BP41)&lt;0.5, "Pending", IF(BP41&lt;0.5, "Complete", "In Progress"))</f>
        <v>#REF!</v>
      </c>
      <c r="BR41" s="22">
        <v>0</v>
      </c>
      <c r="BS41" s="22" t="e">
        <f t="shared" si="5"/>
        <v>#REF!</v>
      </c>
      <c r="BT41" s="23" t="e">
        <f>IF(SUMPRODUCT($J$85:BS$85,$J41:BS41)&lt;0.5, "Pending", IF(BS41&lt;0.5, "Complete", "In Progress"))</f>
        <v>#REF!</v>
      </c>
      <c r="BU41" s="22">
        <v>0</v>
      </c>
      <c r="BV41" s="22" t="e">
        <f t="shared" si="6"/>
        <v>#REF!</v>
      </c>
      <c r="BW41" s="23" t="e">
        <f>IF(SUMPRODUCT($J$85:BV$85,$J41:BV41)&lt;0.5, "Pending", IF(BV41&lt;0.5, "Complete", "In Progress"))</f>
        <v>#REF!</v>
      </c>
      <c r="BX41" s="22">
        <v>0</v>
      </c>
      <c r="BY41" s="22" t="e">
        <f t="shared" si="7"/>
        <v>#REF!</v>
      </c>
      <c r="BZ41" s="23" t="e">
        <f>IF(SUMPRODUCT($J$85:BY$85,$J41:BY41)&lt;0.5, "Pending", IF(BY41&lt;0.5, "Complete", "In Progress"))</f>
        <v>#REF!</v>
      </c>
      <c r="CA41" s="22">
        <v>0</v>
      </c>
      <c r="CB41" s="22" t="e">
        <f t="shared" si="8"/>
        <v>#REF!</v>
      </c>
      <c r="CC41" s="23" t="e">
        <f>IF(SUMPRODUCT($J$85:CB$85,$J41:CB41)&lt;0.5, "Pending", IF(CB41&lt;0.5, "Complete", "In Progress"))</f>
        <v>#REF!</v>
      </c>
      <c r="CD41" s="24"/>
      <c r="CE41" s="25">
        <f>SUMPRODUCT($H$85:AY$85,$H41:AY41)</f>
        <v>393</v>
      </c>
    </row>
    <row r="42" spans="1:83" ht="13.8" customHeight="1" x14ac:dyDescent="0.25">
      <c r="A42" s="16" t="s">
        <v>103</v>
      </c>
      <c r="B42" s="16" t="s">
        <v>108</v>
      </c>
      <c r="C42" s="16" t="s">
        <v>504</v>
      </c>
      <c r="D42" s="17">
        <v>3</v>
      </c>
      <c r="E42" s="158" t="s">
        <v>337</v>
      </c>
      <c r="F42" s="158" t="s">
        <v>494</v>
      </c>
      <c r="G42" s="19"/>
      <c r="H42" s="20">
        <v>1</v>
      </c>
      <c r="I42" s="21">
        <v>7</v>
      </c>
      <c r="J42" s="21">
        <v>0</v>
      </c>
      <c r="K42" s="21">
        <v>0</v>
      </c>
      <c r="L42" s="21">
        <v>0</v>
      </c>
      <c r="M42" s="21">
        <v>0</v>
      </c>
      <c r="N42" s="21">
        <v>0</v>
      </c>
      <c r="O42" s="21">
        <v>0</v>
      </c>
      <c r="P42" s="21">
        <v>0</v>
      </c>
      <c r="Q42" s="21">
        <v>0</v>
      </c>
      <c r="R42" s="21">
        <v>0</v>
      </c>
      <c r="S42" s="21">
        <v>0</v>
      </c>
      <c r="T42" s="21">
        <v>0</v>
      </c>
      <c r="U42" s="21">
        <v>0</v>
      </c>
      <c r="V42" s="21">
        <v>0</v>
      </c>
      <c r="W42" s="21">
        <v>0</v>
      </c>
      <c r="X42" s="21">
        <v>0</v>
      </c>
      <c r="Y42" s="21">
        <v>0</v>
      </c>
      <c r="Z42" s="21">
        <v>0</v>
      </c>
      <c r="AA42" s="21">
        <v>0</v>
      </c>
      <c r="AB42" s="21">
        <v>0</v>
      </c>
      <c r="AC42" s="21">
        <v>0</v>
      </c>
      <c r="AD42" s="21">
        <v>0</v>
      </c>
      <c r="AE42" s="21">
        <v>0</v>
      </c>
      <c r="AF42" s="21">
        <v>0</v>
      </c>
      <c r="AG42" s="21">
        <v>0</v>
      </c>
      <c r="AH42" s="21">
        <v>0</v>
      </c>
      <c r="AI42" s="21">
        <v>0</v>
      </c>
      <c r="AJ42" s="21">
        <v>0</v>
      </c>
      <c r="AK42" s="21">
        <v>0</v>
      </c>
      <c r="AL42" s="21">
        <v>0</v>
      </c>
      <c r="AM42" s="21">
        <v>0</v>
      </c>
      <c r="AN42" s="21">
        <v>0</v>
      </c>
      <c r="AO42" s="21">
        <v>0</v>
      </c>
      <c r="AP42" s="21">
        <v>0</v>
      </c>
      <c r="AQ42" s="21">
        <v>0</v>
      </c>
      <c r="AR42" s="21">
        <v>0</v>
      </c>
      <c r="AS42" s="21">
        <v>0</v>
      </c>
      <c r="AT42" s="21">
        <v>0</v>
      </c>
      <c r="AU42" s="21">
        <v>0</v>
      </c>
      <c r="AV42" s="21">
        <v>0</v>
      </c>
      <c r="AW42" s="21">
        <v>0</v>
      </c>
      <c r="AX42" s="21">
        <v>0</v>
      </c>
      <c r="AY42" s="21">
        <v>0</v>
      </c>
      <c r="AZ42" s="22">
        <v>0</v>
      </c>
      <c r="BA42" s="22" t="e">
        <f>MAX(#REF!-AZ42,0)</f>
        <v>#REF!</v>
      </c>
      <c r="BB42" s="23" t="e">
        <f>IF(SUMPRODUCT($J$85:BA$85,$J42:BA42)&lt;0.5, "Pending", IF(BA42&lt;0.5, "Complete", "In Progress"))</f>
        <v>#REF!</v>
      </c>
      <c r="BC42" s="22">
        <v>0</v>
      </c>
      <c r="BD42" s="22" t="e">
        <f t="shared" si="0"/>
        <v>#REF!</v>
      </c>
      <c r="BE42" s="23" t="e">
        <f>IF(SUMPRODUCT($J$85:BD$85,$J42:BD42)&lt;0.5, "Pending", IF(BD42&lt;0.5, "Complete", "In Progress"))</f>
        <v>#REF!</v>
      </c>
      <c r="BF42" s="22">
        <v>0</v>
      </c>
      <c r="BG42" s="22" t="e">
        <f t="shared" si="1"/>
        <v>#REF!</v>
      </c>
      <c r="BH42" s="23" t="e">
        <f>IF(SUMPRODUCT($J$85:BG$85,$J42:BG42)&lt;0.5, "Pending", IF(BG42&lt;0.5, "Complete", "In Progress"))</f>
        <v>#REF!</v>
      </c>
      <c r="BI42" s="22">
        <v>0</v>
      </c>
      <c r="BJ42" s="22" t="e">
        <f t="shared" si="2"/>
        <v>#REF!</v>
      </c>
      <c r="BK42" s="23" t="e">
        <f>IF(SUMPRODUCT($J$85:BJ$85,$J42:BJ42)&lt;0.5, "Pending", IF(BJ42&lt;0.5, "Complete", "In Progress"))</f>
        <v>#REF!</v>
      </c>
      <c r="BL42" s="22">
        <v>0</v>
      </c>
      <c r="BM42" s="22" t="e">
        <f t="shared" si="3"/>
        <v>#REF!</v>
      </c>
      <c r="BN42" s="23" t="e">
        <f>IF(SUMPRODUCT($J$85:BM$85,$J42:BM42)&lt;0.5, "Pending", IF(BM42&lt;0.5, "Complete", "In Progress"))</f>
        <v>#REF!</v>
      </c>
      <c r="BO42" s="22">
        <v>0</v>
      </c>
      <c r="BP42" s="22" t="e">
        <f t="shared" si="4"/>
        <v>#REF!</v>
      </c>
      <c r="BQ42" s="23" t="e">
        <f>IF(SUMPRODUCT($J$85:BP$85,$J42:BP42)&lt;0.5, "Pending", IF(BP42&lt;0.5, "Complete", "In Progress"))</f>
        <v>#REF!</v>
      </c>
      <c r="BR42" s="22">
        <v>0</v>
      </c>
      <c r="BS42" s="22" t="e">
        <f t="shared" si="5"/>
        <v>#REF!</v>
      </c>
      <c r="BT42" s="23" t="e">
        <f>IF(SUMPRODUCT($J$85:BS$85,$J42:BS42)&lt;0.5, "Pending", IF(BS42&lt;0.5, "Complete", "In Progress"))</f>
        <v>#REF!</v>
      </c>
      <c r="BU42" s="22">
        <v>0</v>
      </c>
      <c r="BV42" s="22" t="e">
        <f t="shared" si="6"/>
        <v>#REF!</v>
      </c>
      <c r="BW42" s="23" t="e">
        <f>IF(SUMPRODUCT($J$85:BV$85,$J42:BV42)&lt;0.5, "Pending", IF(BV42&lt;0.5, "Complete", "In Progress"))</f>
        <v>#REF!</v>
      </c>
      <c r="BX42" s="22">
        <v>0</v>
      </c>
      <c r="BY42" s="22" t="e">
        <f t="shared" si="7"/>
        <v>#REF!</v>
      </c>
      <c r="BZ42" s="23" t="e">
        <f>IF(SUMPRODUCT($J$85:BY$85,$J42:BY42)&lt;0.5, "Pending", IF(BY42&lt;0.5, "Complete", "In Progress"))</f>
        <v>#REF!</v>
      </c>
      <c r="CA42" s="22">
        <v>0</v>
      </c>
      <c r="CB42" s="22" t="e">
        <f t="shared" si="8"/>
        <v>#REF!</v>
      </c>
      <c r="CC42" s="23" t="e">
        <f>IF(SUMPRODUCT($J$85:CB$85,$J42:CB42)&lt;0.5, "Pending", IF(CB42&lt;0.5, "Complete", "In Progress"))</f>
        <v>#REF!</v>
      </c>
      <c r="CD42" s="24"/>
      <c r="CE42" s="25">
        <f>SUMPRODUCT($H$85:AY$85,$H42:AY42)</f>
        <v>50</v>
      </c>
    </row>
    <row r="43" spans="1:83" ht="13.8" customHeight="1" x14ac:dyDescent="0.25">
      <c r="A43" s="16" t="s">
        <v>103</v>
      </c>
      <c r="B43" s="16" t="s">
        <v>108</v>
      </c>
      <c r="C43" s="16" t="s">
        <v>504</v>
      </c>
      <c r="D43" s="17">
        <v>3.1</v>
      </c>
      <c r="E43" s="158" t="s">
        <v>338</v>
      </c>
      <c r="F43" s="158" t="s">
        <v>497</v>
      </c>
      <c r="G43" s="19"/>
      <c r="H43" s="20">
        <v>1</v>
      </c>
      <c r="I43" s="21">
        <v>7</v>
      </c>
      <c r="J43" s="21">
        <v>0</v>
      </c>
      <c r="K43" s="21">
        <v>0</v>
      </c>
      <c r="L43" s="21">
        <v>0</v>
      </c>
      <c r="M43" s="21">
        <v>0</v>
      </c>
      <c r="N43" s="21">
        <v>0</v>
      </c>
      <c r="O43" s="21">
        <v>0</v>
      </c>
      <c r="P43" s="21">
        <v>0</v>
      </c>
      <c r="Q43" s="21">
        <v>0</v>
      </c>
      <c r="R43" s="21">
        <v>0</v>
      </c>
      <c r="S43" s="21">
        <v>0</v>
      </c>
      <c r="T43" s="21">
        <v>0</v>
      </c>
      <c r="U43" s="21">
        <v>0</v>
      </c>
      <c r="V43" s="21">
        <v>0</v>
      </c>
      <c r="W43" s="21">
        <v>0</v>
      </c>
      <c r="X43" s="21">
        <v>0</v>
      </c>
      <c r="Y43" s="21">
        <v>0</v>
      </c>
      <c r="Z43" s="21">
        <v>0</v>
      </c>
      <c r="AA43" s="21">
        <v>0</v>
      </c>
      <c r="AB43" s="21">
        <v>0</v>
      </c>
      <c r="AC43" s="21">
        <v>0</v>
      </c>
      <c r="AD43" s="21">
        <v>0</v>
      </c>
      <c r="AE43" s="21">
        <v>0</v>
      </c>
      <c r="AF43" s="21">
        <v>0</v>
      </c>
      <c r="AG43" s="21">
        <v>0</v>
      </c>
      <c r="AH43" s="21">
        <v>0</v>
      </c>
      <c r="AI43" s="21">
        <v>0</v>
      </c>
      <c r="AJ43" s="21">
        <v>0</v>
      </c>
      <c r="AK43" s="21">
        <v>0</v>
      </c>
      <c r="AL43" s="21">
        <v>0</v>
      </c>
      <c r="AM43" s="21">
        <v>0</v>
      </c>
      <c r="AN43" s="21">
        <v>0</v>
      </c>
      <c r="AO43" s="21">
        <v>0</v>
      </c>
      <c r="AP43" s="21">
        <v>0</v>
      </c>
      <c r="AQ43" s="21">
        <v>0</v>
      </c>
      <c r="AR43" s="21">
        <v>0</v>
      </c>
      <c r="AS43" s="21">
        <v>0</v>
      </c>
      <c r="AT43" s="21">
        <v>0</v>
      </c>
      <c r="AU43" s="21">
        <v>0</v>
      </c>
      <c r="AV43" s="21">
        <v>0</v>
      </c>
      <c r="AW43" s="21">
        <v>0</v>
      </c>
      <c r="AX43" s="21">
        <v>0</v>
      </c>
      <c r="AY43" s="21">
        <v>0</v>
      </c>
      <c r="AZ43" s="22">
        <v>0</v>
      </c>
      <c r="BA43" s="22" t="e">
        <f>MAX(#REF!-AZ43,0)</f>
        <v>#REF!</v>
      </c>
      <c r="BB43" s="23" t="e">
        <f>IF(SUMPRODUCT($J$85:BA$85,$J43:BA43)&lt;0.5, "Pending", IF(BA43&lt;0.5, "Complete", "In Progress"))</f>
        <v>#REF!</v>
      </c>
      <c r="BC43" s="22">
        <v>0</v>
      </c>
      <c r="BD43" s="22" t="e">
        <f t="shared" si="0"/>
        <v>#REF!</v>
      </c>
      <c r="BE43" s="23" t="e">
        <f>IF(SUMPRODUCT($J$85:BD$85,$J43:BD43)&lt;0.5, "Pending", IF(BD43&lt;0.5, "Complete", "In Progress"))</f>
        <v>#REF!</v>
      </c>
      <c r="BF43" s="22">
        <v>0</v>
      </c>
      <c r="BG43" s="22" t="e">
        <f t="shared" si="1"/>
        <v>#REF!</v>
      </c>
      <c r="BH43" s="23" t="e">
        <f>IF(SUMPRODUCT($J$85:BG$85,$J43:BG43)&lt;0.5, "Pending", IF(BG43&lt;0.5, "Complete", "In Progress"))</f>
        <v>#REF!</v>
      </c>
      <c r="BI43" s="22">
        <v>0</v>
      </c>
      <c r="BJ43" s="22" t="e">
        <f t="shared" si="2"/>
        <v>#REF!</v>
      </c>
      <c r="BK43" s="23" t="e">
        <f>IF(SUMPRODUCT($J$85:BJ$85,$J43:BJ43)&lt;0.5, "Pending", IF(BJ43&lt;0.5, "Complete", "In Progress"))</f>
        <v>#REF!</v>
      </c>
      <c r="BL43" s="22">
        <v>0</v>
      </c>
      <c r="BM43" s="22" t="e">
        <f t="shared" si="3"/>
        <v>#REF!</v>
      </c>
      <c r="BN43" s="23" t="e">
        <f>IF(SUMPRODUCT($J$85:BM$85,$J43:BM43)&lt;0.5, "Pending", IF(BM43&lt;0.5, "Complete", "In Progress"))</f>
        <v>#REF!</v>
      </c>
      <c r="BO43" s="22">
        <v>0</v>
      </c>
      <c r="BP43" s="22" t="e">
        <f t="shared" si="4"/>
        <v>#REF!</v>
      </c>
      <c r="BQ43" s="23" t="e">
        <f>IF(SUMPRODUCT($J$85:BP$85,$J43:BP43)&lt;0.5, "Pending", IF(BP43&lt;0.5, "Complete", "In Progress"))</f>
        <v>#REF!</v>
      </c>
      <c r="BR43" s="22">
        <v>0</v>
      </c>
      <c r="BS43" s="22" t="e">
        <f t="shared" si="5"/>
        <v>#REF!</v>
      </c>
      <c r="BT43" s="23" t="e">
        <f>IF(SUMPRODUCT($J$85:BS$85,$J43:BS43)&lt;0.5, "Pending", IF(BS43&lt;0.5, "Complete", "In Progress"))</f>
        <v>#REF!</v>
      </c>
      <c r="BU43" s="22">
        <v>0</v>
      </c>
      <c r="BV43" s="22" t="e">
        <f t="shared" si="6"/>
        <v>#REF!</v>
      </c>
      <c r="BW43" s="23" t="e">
        <f>IF(SUMPRODUCT($J$85:BV$85,$J43:BV43)&lt;0.5, "Pending", IF(BV43&lt;0.5, "Complete", "In Progress"))</f>
        <v>#REF!</v>
      </c>
      <c r="BX43" s="22">
        <v>0</v>
      </c>
      <c r="BY43" s="22" t="e">
        <f t="shared" si="7"/>
        <v>#REF!</v>
      </c>
      <c r="BZ43" s="23" t="e">
        <f>IF(SUMPRODUCT($J$85:BY$85,$J43:BY43)&lt;0.5, "Pending", IF(BY43&lt;0.5, "Complete", "In Progress"))</f>
        <v>#REF!</v>
      </c>
      <c r="CA43" s="22">
        <v>0</v>
      </c>
      <c r="CB43" s="22" t="e">
        <f t="shared" si="8"/>
        <v>#REF!</v>
      </c>
      <c r="CC43" s="23" t="e">
        <f>IF(SUMPRODUCT($J$85:CB$85,$J43:CB43)&lt;0.5, "Pending", IF(CB43&lt;0.5, "Complete", "In Progress"))</f>
        <v>#REF!</v>
      </c>
      <c r="CD43" s="24"/>
      <c r="CE43" s="25">
        <f>SUMPRODUCT($H$85:AY$85,$H43:AY43)</f>
        <v>50</v>
      </c>
    </row>
    <row r="44" spans="1:83" ht="13.8" customHeight="1" x14ac:dyDescent="0.25">
      <c r="A44" s="16" t="s">
        <v>103</v>
      </c>
      <c r="B44" s="16" t="s">
        <v>110</v>
      </c>
      <c r="C44" s="16" t="s">
        <v>505</v>
      </c>
      <c r="D44" s="17" t="s">
        <v>169</v>
      </c>
      <c r="E44" s="158" t="s">
        <v>339</v>
      </c>
      <c r="F44" s="158" t="s">
        <v>498</v>
      </c>
      <c r="G44" s="19"/>
      <c r="H44" s="20">
        <v>1</v>
      </c>
      <c r="I44" s="21">
        <v>7</v>
      </c>
      <c r="J44" s="21">
        <v>0</v>
      </c>
      <c r="K44" s="21">
        <v>0</v>
      </c>
      <c r="L44" s="21">
        <v>0</v>
      </c>
      <c r="M44" s="21">
        <v>0</v>
      </c>
      <c r="N44" s="21">
        <v>0</v>
      </c>
      <c r="O44" s="21">
        <v>0</v>
      </c>
      <c r="P44" s="21">
        <v>0</v>
      </c>
      <c r="Q44" s="21">
        <v>0</v>
      </c>
      <c r="R44" s="21">
        <v>0</v>
      </c>
      <c r="S44" s="21">
        <v>0</v>
      </c>
      <c r="T44" s="21">
        <v>0</v>
      </c>
      <c r="U44" s="21">
        <v>0</v>
      </c>
      <c r="V44" s="21">
        <v>0</v>
      </c>
      <c r="W44" s="21">
        <v>0</v>
      </c>
      <c r="X44" s="21">
        <v>0</v>
      </c>
      <c r="Y44" s="21">
        <v>0</v>
      </c>
      <c r="Z44" s="21">
        <v>0</v>
      </c>
      <c r="AA44" s="21">
        <v>0</v>
      </c>
      <c r="AB44" s="21">
        <v>0</v>
      </c>
      <c r="AC44" s="21">
        <v>0</v>
      </c>
      <c r="AD44" s="21">
        <v>0</v>
      </c>
      <c r="AE44" s="21">
        <v>0</v>
      </c>
      <c r="AF44" s="21">
        <v>0</v>
      </c>
      <c r="AG44" s="21">
        <v>0</v>
      </c>
      <c r="AH44" s="21">
        <v>0</v>
      </c>
      <c r="AI44" s="21">
        <v>0</v>
      </c>
      <c r="AJ44" s="21">
        <v>0</v>
      </c>
      <c r="AK44" s="21">
        <v>0</v>
      </c>
      <c r="AL44" s="21">
        <v>0</v>
      </c>
      <c r="AM44" s="21">
        <v>0</v>
      </c>
      <c r="AN44" s="21">
        <v>0</v>
      </c>
      <c r="AO44" s="21">
        <v>0</v>
      </c>
      <c r="AP44" s="21">
        <v>0</v>
      </c>
      <c r="AQ44" s="21">
        <v>0</v>
      </c>
      <c r="AR44" s="21">
        <v>0</v>
      </c>
      <c r="AS44" s="21">
        <v>0</v>
      </c>
      <c r="AT44" s="21">
        <v>0</v>
      </c>
      <c r="AU44" s="21">
        <v>0</v>
      </c>
      <c r="AV44" s="21">
        <v>0</v>
      </c>
      <c r="AW44" s="21">
        <v>0</v>
      </c>
      <c r="AX44" s="21">
        <v>0</v>
      </c>
      <c r="AY44" s="21">
        <v>0</v>
      </c>
      <c r="AZ44" s="22">
        <v>0</v>
      </c>
      <c r="BA44" s="22" t="e">
        <f>MAX(#REF!-AZ44,0)</f>
        <v>#REF!</v>
      </c>
      <c r="BB44" s="23" t="e">
        <f>IF(SUMPRODUCT($J$85:BA$85,$J44:BA44)&lt;0.5, "Pending", IF(BA44&lt;0.5, "Complete", "In Progress"))</f>
        <v>#REF!</v>
      </c>
      <c r="BC44" s="22">
        <v>0</v>
      </c>
      <c r="BD44" s="22" t="e">
        <f t="shared" si="0"/>
        <v>#REF!</v>
      </c>
      <c r="BE44" s="23" t="e">
        <f>IF(SUMPRODUCT($J$85:BD$85,$J44:BD44)&lt;0.5, "Pending", IF(BD44&lt;0.5, "Complete", "In Progress"))</f>
        <v>#REF!</v>
      </c>
      <c r="BF44" s="22">
        <v>0</v>
      </c>
      <c r="BG44" s="22" t="e">
        <f t="shared" si="1"/>
        <v>#REF!</v>
      </c>
      <c r="BH44" s="23" t="e">
        <f>IF(SUMPRODUCT($J$85:BG$85,$J44:BG44)&lt;0.5, "Pending", IF(BG44&lt;0.5, "Complete", "In Progress"))</f>
        <v>#REF!</v>
      </c>
      <c r="BI44" s="22">
        <v>0</v>
      </c>
      <c r="BJ44" s="22" t="e">
        <f t="shared" si="2"/>
        <v>#REF!</v>
      </c>
      <c r="BK44" s="23" t="e">
        <f>IF(SUMPRODUCT($J$85:BJ$85,$J44:BJ44)&lt;0.5, "Pending", IF(BJ44&lt;0.5, "Complete", "In Progress"))</f>
        <v>#REF!</v>
      </c>
      <c r="BL44" s="22">
        <v>0</v>
      </c>
      <c r="BM44" s="22" t="e">
        <f t="shared" si="3"/>
        <v>#REF!</v>
      </c>
      <c r="BN44" s="23" t="e">
        <f>IF(SUMPRODUCT($J$85:BM$85,$J44:BM44)&lt;0.5, "Pending", IF(BM44&lt;0.5, "Complete", "In Progress"))</f>
        <v>#REF!</v>
      </c>
      <c r="BO44" s="22">
        <v>0</v>
      </c>
      <c r="BP44" s="22" t="e">
        <f t="shared" si="4"/>
        <v>#REF!</v>
      </c>
      <c r="BQ44" s="23" t="e">
        <f>IF(SUMPRODUCT($J$85:BP$85,$J44:BP44)&lt;0.5, "Pending", IF(BP44&lt;0.5, "Complete", "In Progress"))</f>
        <v>#REF!</v>
      </c>
      <c r="BR44" s="22">
        <v>0</v>
      </c>
      <c r="BS44" s="22" t="e">
        <f t="shared" si="5"/>
        <v>#REF!</v>
      </c>
      <c r="BT44" s="23" t="e">
        <f>IF(SUMPRODUCT($J$85:BS$85,$J44:BS44)&lt;0.5, "Pending", IF(BS44&lt;0.5, "Complete", "In Progress"))</f>
        <v>#REF!</v>
      </c>
      <c r="BU44" s="22">
        <v>0</v>
      </c>
      <c r="BV44" s="22" t="e">
        <f t="shared" si="6"/>
        <v>#REF!</v>
      </c>
      <c r="BW44" s="23" t="e">
        <f>IF(SUMPRODUCT($J$85:BV$85,$J44:BV44)&lt;0.5, "Pending", IF(BV44&lt;0.5, "Complete", "In Progress"))</f>
        <v>#REF!</v>
      </c>
      <c r="BX44" s="22">
        <v>0</v>
      </c>
      <c r="BY44" s="22" t="e">
        <f t="shared" si="7"/>
        <v>#REF!</v>
      </c>
      <c r="BZ44" s="23" t="e">
        <f>IF(SUMPRODUCT($J$85:BY$85,$J44:BY44)&lt;0.5, "Pending", IF(BY44&lt;0.5, "Complete", "In Progress"))</f>
        <v>#REF!</v>
      </c>
      <c r="CA44" s="22">
        <v>0</v>
      </c>
      <c r="CB44" s="22" t="e">
        <f t="shared" si="8"/>
        <v>#REF!</v>
      </c>
      <c r="CC44" s="23" t="e">
        <f>IF(SUMPRODUCT($J$85:CB$85,$J44:CB44)&lt;0.5, "Pending", IF(CB44&lt;0.5, "Complete", "In Progress"))</f>
        <v>#REF!</v>
      </c>
      <c r="CD44" s="24"/>
      <c r="CE44" s="25">
        <f>SUMPRODUCT($H$85:AY$85,$H44:AY44)</f>
        <v>50</v>
      </c>
    </row>
    <row r="45" spans="1:83" ht="13.8" customHeight="1" x14ac:dyDescent="0.25">
      <c r="A45" s="16" t="s">
        <v>103</v>
      </c>
      <c r="B45" s="16" t="s">
        <v>108</v>
      </c>
      <c r="C45" s="16" t="s">
        <v>505</v>
      </c>
      <c r="D45" s="17" t="s">
        <v>170</v>
      </c>
      <c r="E45" s="158" t="s">
        <v>340</v>
      </c>
      <c r="F45" s="158" t="s">
        <v>496</v>
      </c>
      <c r="G45" s="19"/>
      <c r="H45" s="20">
        <v>1</v>
      </c>
      <c r="I45" s="21">
        <v>7</v>
      </c>
      <c r="J45" s="21">
        <v>0</v>
      </c>
      <c r="K45" s="21">
        <v>0</v>
      </c>
      <c r="L45" s="21">
        <v>0</v>
      </c>
      <c r="M45" s="21">
        <v>0</v>
      </c>
      <c r="N45" s="21">
        <v>0</v>
      </c>
      <c r="O45" s="21">
        <v>0</v>
      </c>
      <c r="P45" s="21">
        <v>0</v>
      </c>
      <c r="Q45" s="21">
        <v>0</v>
      </c>
      <c r="R45" s="21">
        <v>0</v>
      </c>
      <c r="S45" s="21">
        <v>0</v>
      </c>
      <c r="T45" s="21">
        <v>0</v>
      </c>
      <c r="U45" s="21">
        <v>0</v>
      </c>
      <c r="V45" s="21">
        <v>0</v>
      </c>
      <c r="W45" s="21">
        <v>0</v>
      </c>
      <c r="X45" s="21">
        <v>0</v>
      </c>
      <c r="Y45" s="21">
        <v>0</v>
      </c>
      <c r="Z45" s="21">
        <v>0</v>
      </c>
      <c r="AA45" s="21">
        <v>0</v>
      </c>
      <c r="AB45" s="21">
        <v>0</v>
      </c>
      <c r="AC45" s="21">
        <v>0</v>
      </c>
      <c r="AD45" s="21">
        <v>0</v>
      </c>
      <c r="AE45" s="21">
        <v>0</v>
      </c>
      <c r="AF45" s="21">
        <v>0</v>
      </c>
      <c r="AG45" s="21">
        <v>0</v>
      </c>
      <c r="AH45" s="21">
        <v>0</v>
      </c>
      <c r="AI45" s="21">
        <v>0</v>
      </c>
      <c r="AJ45" s="21">
        <v>0</v>
      </c>
      <c r="AK45" s="21">
        <v>0</v>
      </c>
      <c r="AL45" s="21">
        <v>0</v>
      </c>
      <c r="AM45" s="21">
        <v>0</v>
      </c>
      <c r="AN45" s="21">
        <v>0</v>
      </c>
      <c r="AO45" s="21">
        <v>0</v>
      </c>
      <c r="AP45" s="21">
        <v>0</v>
      </c>
      <c r="AQ45" s="21">
        <v>0</v>
      </c>
      <c r="AR45" s="21">
        <v>0</v>
      </c>
      <c r="AS45" s="21">
        <v>0</v>
      </c>
      <c r="AT45" s="21">
        <v>0</v>
      </c>
      <c r="AU45" s="21">
        <v>0</v>
      </c>
      <c r="AV45" s="21">
        <v>0</v>
      </c>
      <c r="AW45" s="21">
        <v>0</v>
      </c>
      <c r="AX45" s="21">
        <v>0</v>
      </c>
      <c r="AY45" s="21">
        <v>0</v>
      </c>
      <c r="AZ45" s="22">
        <v>0</v>
      </c>
      <c r="BA45" s="22" t="e">
        <f>MAX(#REF!-AZ45,0)</f>
        <v>#REF!</v>
      </c>
      <c r="BB45" s="23" t="e">
        <f>IF(SUMPRODUCT($J$85:BA$85,$J45:BA45)&lt;0.5, "Pending", IF(BA45&lt;0.5, "Complete", "In Progress"))</f>
        <v>#REF!</v>
      </c>
      <c r="BC45" s="22">
        <v>0</v>
      </c>
      <c r="BD45" s="22" t="e">
        <f t="shared" si="0"/>
        <v>#REF!</v>
      </c>
      <c r="BE45" s="23" t="e">
        <f>IF(SUMPRODUCT($J$85:BD$85,$J45:BD45)&lt;0.5, "Pending", IF(BD45&lt;0.5, "Complete", "In Progress"))</f>
        <v>#REF!</v>
      </c>
      <c r="BF45" s="22">
        <v>0</v>
      </c>
      <c r="BG45" s="22" t="e">
        <f t="shared" si="1"/>
        <v>#REF!</v>
      </c>
      <c r="BH45" s="23" t="e">
        <f>IF(SUMPRODUCT($J$85:BG$85,$J45:BG45)&lt;0.5, "Pending", IF(BG45&lt;0.5, "Complete", "In Progress"))</f>
        <v>#REF!</v>
      </c>
      <c r="BI45" s="22">
        <v>0</v>
      </c>
      <c r="BJ45" s="22" t="e">
        <f t="shared" si="2"/>
        <v>#REF!</v>
      </c>
      <c r="BK45" s="23" t="e">
        <f>IF(SUMPRODUCT($J$85:BJ$85,$J45:BJ45)&lt;0.5, "Pending", IF(BJ45&lt;0.5, "Complete", "In Progress"))</f>
        <v>#REF!</v>
      </c>
      <c r="BL45" s="22">
        <v>0</v>
      </c>
      <c r="BM45" s="22" t="e">
        <f t="shared" si="3"/>
        <v>#REF!</v>
      </c>
      <c r="BN45" s="23" t="e">
        <f>IF(SUMPRODUCT($J$85:BM$85,$J45:BM45)&lt;0.5, "Pending", IF(BM45&lt;0.5, "Complete", "In Progress"))</f>
        <v>#REF!</v>
      </c>
      <c r="BO45" s="22">
        <v>0</v>
      </c>
      <c r="BP45" s="22" t="e">
        <f t="shared" si="4"/>
        <v>#REF!</v>
      </c>
      <c r="BQ45" s="23" t="e">
        <f>IF(SUMPRODUCT($J$85:BP$85,$J45:BP45)&lt;0.5, "Pending", IF(BP45&lt;0.5, "Complete", "In Progress"))</f>
        <v>#REF!</v>
      </c>
      <c r="BR45" s="22">
        <v>0</v>
      </c>
      <c r="BS45" s="22" t="e">
        <f t="shared" si="5"/>
        <v>#REF!</v>
      </c>
      <c r="BT45" s="23" t="e">
        <f>IF(SUMPRODUCT($J$85:BS$85,$J45:BS45)&lt;0.5, "Pending", IF(BS45&lt;0.5, "Complete", "In Progress"))</f>
        <v>#REF!</v>
      </c>
      <c r="BU45" s="22">
        <v>0</v>
      </c>
      <c r="BV45" s="22" t="e">
        <f t="shared" si="6"/>
        <v>#REF!</v>
      </c>
      <c r="BW45" s="23" t="e">
        <f>IF(SUMPRODUCT($J$85:BV$85,$J45:BV45)&lt;0.5, "Pending", IF(BV45&lt;0.5, "Complete", "In Progress"))</f>
        <v>#REF!</v>
      </c>
      <c r="BX45" s="22">
        <v>0</v>
      </c>
      <c r="BY45" s="22" t="e">
        <f t="shared" si="7"/>
        <v>#REF!</v>
      </c>
      <c r="BZ45" s="23" t="e">
        <f>IF(SUMPRODUCT($J$85:BY$85,$J45:BY45)&lt;0.5, "Pending", IF(BY45&lt;0.5, "Complete", "In Progress"))</f>
        <v>#REF!</v>
      </c>
      <c r="CA45" s="22">
        <v>0</v>
      </c>
      <c r="CB45" s="22" t="e">
        <f t="shared" si="8"/>
        <v>#REF!</v>
      </c>
      <c r="CC45" s="23" t="e">
        <f>IF(SUMPRODUCT($J$85:CB$85,$J45:CB45)&lt;0.5, "Pending", IF(CB45&lt;0.5, "Complete", "In Progress"))</f>
        <v>#REF!</v>
      </c>
      <c r="CD45" s="24"/>
      <c r="CE45" s="25">
        <f>SUMPRODUCT($H$85:AY$85,$H45:AY45)</f>
        <v>50</v>
      </c>
    </row>
    <row r="46" spans="1:83" ht="13.8" customHeight="1" x14ac:dyDescent="0.25">
      <c r="A46" s="16" t="s">
        <v>103</v>
      </c>
      <c r="B46" s="16" t="s">
        <v>108</v>
      </c>
      <c r="C46" s="16" t="s">
        <v>505</v>
      </c>
      <c r="D46" s="17" t="s">
        <v>171</v>
      </c>
      <c r="E46" s="158" t="s">
        <v>341</v>
      </c>
      <c r="F46" s="158" t="s">
        <v>495</v>
      </c>
      <c r="G46" s="19"/>
      <c r="H46" s="20">
        <v>1</v>
      </c>
      <c r="I46" s="21">
        <v>6</v>
      </c>
      <c r="J46" s="21">
        <v>0</v>
      </c>
      <c r="K46" s="21">
        <v>0</v>
      </c>
      <c r="L46" s="21">
        <v>0</v>
      </c>
      <c r="M46" s="21">
        <v>0</v>
      </c>
      <c r="N46" s="21">
        <v>0</v>
      </c>
      <c r="O46" s="21">
        <v>0</v>
      </c>
      <c r="P46" s="21">
        <v>0</v>
      </c>
      <c r="Q46" s="21">
        <v>0</v>
      </c>
      <c r="R46" s="21">
        <v>0</v>
      </c>
      <c r="S46" s="21">
        <v>0</v>
      </c>
      <c r="T46" s="21">
        <v>0</v>
      </c>
      <c r="U46" s="21">
        <v>0</v>
      </c>
      <c r="V46" s="21">
        <v>0</v>
      </c>
      <c r="W46" s="21">
        <v>0</v>
      </c>
      <c r="X46" s="21">
        <v>0</v>
      </c>
      <c r="Y46" s="21">
        <v>0</v>
      </c>
      <c r="Z46" s="21">
        <v>0</v>
      </c>
      <c r="AA46" s="21">
        <v>0</v>
      </c>
      <c r="AB46" s="21">
        <v>0</v>
      </c>
      <c r="AC46" s="21">
        <v>0</v>
      </c>
      <c r="AD46" s="21">
        <v>0</v>
      </c>
      <c r="AE46" s="21">
        <v>0</v>
      </c>
      <c r="AF46" s="21">
        <v>0</v>
      </c>
      <c r="AG46" s="21">
        <v>0</v>
      </c>
      <c r="AH46" s="21">
        <v>0</v>
      </c>
      <c r="AI46" s="21">
        <v>0</v>
      </c>
      <c r="AJ46" s="21">
        <v>0</v>
      </c>
      <c r="AK46" s="21">
        <v>0</v>
      </c>
      <c r="AL46" s="21">
        <v>0</v>
      </c>
      <c r="AM46" s="21">
        <v>0</v>
      </c>
      <c r="AN46" s="21">
        <v>0</v>
      </c>
      <c r="AO46" s="21">
        <v>0</v>
      </c>
      <c r="AP46" s="21">
        <v>0</v>
      </c>
      <c r="AQ46" s="21">
        <v>0</v>
      </c>
      <c r="AR46" s="21">
        <v>0</v>
      </c>
      <c r="AS46" s="21">
        <v>0</v>
      </c>
      <c r="AT46" s="21">
        <v>0</v>
      </c>
      <c r="AU46" s="21">
        <v>0</v>
      </c>
      <c r="AV46" s="21">
        <v>0</v>
      </c>
      <c r="AW46" s="21">
        <v>0</v>
      </c>
      <c r="AX46" s="21">
        <v>0</v>
      </c>
      <c r="AY46" s="21">
        <v>0</v>
      </c>
      <c r="AZ46" s="22">
        <v>0</v>
      </c>
      <c r="BA46" s="22" t="e">
        <f>MAX(#REF!-AZ46,0)</f>
        <v>#REF!</v>
      </c>
      <c r="BB46" s="23" t="e">
        <f>IF(SUMPRODUCT($J$85:BA$85,$J46:BA46)&lt;0.5, "Pending", IF(BA46&lt;0.5, "Complete", "In Progress"))</f>
        <v>#REF!</v>
      </c>
      <c r="BC46" s="22">
        <v>0</v>
      </c>
      <c r="BD46" s="22" t="e">
        <f t="shared" si="0"/>
        <v>#REF!</v>
      </c>
      <c r="BE46" s="23" t="e">
        <f>IF(SUMPRODUCT($J$85:BD$85,$J46:BD46)&lt;0.5, "Pending", IF(BD46&lt;0.5, "Complete", "In Progress"))</f>
        <v>#REF!</v>
      </c>
      <c r="BF46" s="22">
        <v>0</v>
      </c>
      <c r="BG46" s="22" t="e">
        <f t="shared" si="1"/>
        <v>#REF!</v>
      </c>
      <c r="BH46" s="23" t="e">
        <f>IF(SUMPRODUCT($J$85:BG$85,$J46:BG46)&lt;0.5, "Pending", IF(BG46&lt;0.5, "Complete", "In Progress"))</f>
        <v>#REF!</v>
      </c>
      <c r="BI46" s="22">
        <v>0</v>
      </c>
      <c r="BJ46" s="22" t="e">
        <f t="shared" si="2"/>
        <v>#REF!</v>
      </c>
      <c r="BK46" s="23" t="e">
        <f>IF(SUMPRODUCT($J$85:BJ$85,$J46:BJ46)&lt;0.5, "Pending", IF(BJ46&lt;0.5, "Complete", "In Progress"))</f>
        <v>#REF!</v>
      </c>
      <c r="BL46" s="22">
        <v>0</v>
      </c>
      <c r="BM46" s="22" t="e">
        <f t="shared" si="3"/>
        <v>#REF!</v>
      </c>
      <c r="BN46" s="23" t="e">
        <f>IF(SUMPRODUCT($J$85:BM$85,$J46:BM46)&lt;0.5, "Pending", IF(BM46&lt;0.5, "Complete", "In Progress"))</f>
        <v>#REF!</v>
      </c>
      <c r="BO46" s="22">
        <v>0</v>
      </c>
      <c r="BP46" s="22" t="e">
        <f t="shared" si="4"/>
        <v>#REF!</v>
      </c>
      <c r="BQ46" s="23" t="e">
        <f>IF(SUMPRODUCT($J$85:BP$85,$J46:BP46)&lt;0.5, "Pending", IF(BP46&lt;0.5, "Complete", "In Progress"))</f>
        <v>#REF!</v>
      </c>
      <c r="BR46" s="22">
        <v>0</v>
      </c>
      <c r="BS46" s="22" t="e">
        <f t="shared" si="5"/>
        <v>#REF!</v>
      </c>
      <c r="BT46" s="23" t="e">
        <f>IF(SUMPRODUCT($J$85:BS$85,$J46:BS46)&lt;0.5, "Pending", IF(BS46&lt;0.5, "Complete", "In Progress"))</f>
        <v>#REF!</v>
      </c>
      <c r="BU46" s="22">
        <v>0</v>
      </c>
      <c r="BV46" s="22" t="e">
        <f t="shared" si="6"/>
        <v>#REF!</v>
      </c>
      <c r="BW46" s="23" t="e">
        <f>IF(SUMPRODUCT($J$85:BV$85,$J46:BV46)&lt;0.5, "Pending", IF(BV46&lt;0.5, "Complete", "In Progress"))</f>
        <v>#REF!</v>
      </c>
      <c r="BX46" s="22">
        <v>0</v>
      </c>
      <c r="BY46" s="22" t="e">
        <f t="shared" si="7"/>
        <v>#REF!</v>
      </c>
      <c r="BZ46" s="23" t="e">
        <f>IF(SUMPRODUCT($J$85:BY$85,$J46:BY46)&lt;0.5, "Pending", IF(BY46&lt;0.5, "Complete", "In Progress"))</f>
        <v>#REF!</v>
      </c>
      <c r="CA46" s="22">
        <v>0</v>
      </c>
      <c r="CB46" s="22" t="e">
        <f t="shared" si="8"/>
        <v>#REF!</v>
      </c>
      <c r="CC46" s="23" t="e">
        <f>IF(SUMPRODUCT($J$85:CB$85,$J46:CB46)&lt;0.5, "Pending", IF(CB46&lt;0.5, "Complete", "In Progress"))</f>
        <v>#REF!</v>
      </c>
      <c r="CD46" s="24"/>
      <c r="CE46" s="25">
        <f>SUMPRODUCT($H$85:AY$85,$H46:AY46)</f>
        <v>43</v>
      </c>
    </row>
    <row r="47" spans="1:83" ht="13.8" customHeight="1" x14ac:dyDescent="0.25">
      <c r="A47" s="16" t="s">
        <v>103</v>
      </c>
      <c r="B47" s="16" t="s">
        <v>108</v>
      </c>
      <c r="C47" s="16" t="s">
        <v>505</v>
      </c>
      <c r="D47" s="17" t="s">
        <v>172</v>
      </c>
      <c r="E47" s="158" t="s">
        <v>342</v>
      </c>
      <c r="F47" s="158" t="s">
        <v>493</v>
      </c>
      <c r="G47" s="168"/>
      <c r="H47" s="20">
        <v>1</v>
      </c>
      <c r="I47" s="21">
        <v>56</v>
      </c>
      <c r="J47" s="21">
        <v>0</v>
      </c>
      <c r="K47" s="21">
        <v>0</v>
      </c>
      <c r="L47" s="21">
        <v>0</v>
      </c>
      <c r="M47" s="21">
        <v>0</v>
      </c>
      <c r="N47" s="21">
        <v>0</v>
      </c>
      <c r="O47" s="21">
        <v>0</v>
      </c>
      <c r="P47" s="21">
        <v>0</v>
      </c>
      <c r="Q47" s="21">
        <v>0</v>
      </c>
      <c r="R47" s="21">
        <v>0</v>
      </c>
      <c r="S47" s="21">
        <v>0</v>
      </c>
      <c r="T47" s="21">
        <v>0</v>
      </c>
      <c r="U47" s="21">
        <v>0</v>
      </c>
      <c r="V47" s="21">
        <v>0</v>
      </c>
      <c r="W47" s="21">
        <v>0</v>
      </c>
      <c r="X47" s="21">
        <v>0</v>
      </c>
      <c r="Y47" s="21">
        <v>0</v>
      </c>
      <c r="Z47" s="21">
        <v>0</v>
      </c>
      <c r="AA47" s="21">
        <v>0</v>
      </c>
      <c r="AB47" s="21">
        <v>0</v>
      </c>
      <c r="AC47" s="21">
        <v>0</v>
      </c>
      <c r="AD47" s="21">
        <v>0</v>
      </c>
      <c r="AE47" s="21">
        <v>0</v>
      </c>
      <c r="AF47" s="21">
        <v>0</v>
      </c>
      <c r="AG47" s="21">
        <v>0</v>
      </c>
      <c r="AH47" s="21">
        <v>0</v>
      </c>
      <c r="AI47" s="21">
        <v>0</v>
      </c>
      <c r="AJ47" s="21">
        <v>0</v>
      </c>
      <c r="AK47" s="21">
        <v>0</v>
      </c>
      <c r="AL47" s="21">
        <v>0</v>
      </c>
      <c r="AM47" s="21">
        <v>0</v>
      </c>
      <c r="AN47" s="21">
        <v>0</v>
      </c>
      <c r="AO47" s="21">
        <v>0</v>
      </c>
      <c r="AP47" s="21">
        <v>0</v>
      </c>
      <c r="AQ47" s="21">
        <v>0</v>
      </c>
      <c r="AR47" s="21">
        <v>0</v>
      </c>
      <c r="AS47" s="21">
        <v>0</v>
      </c>
      <c r="AT47" s="21">
        <v>0</v>
      </c>
      <c r="AU47" s="21">
        <v>0</v>
      </c>
      <c r="AV47" s="21">
        <v>0</v>
      </c>
      <c r="AW47" s="21">
        <v>0</v>
      </c>
      <c r="AX47" s="21">
        <v>0</v>
      </c>
      <c r="AY47" s="21">
        <v>0</v>
      </c>
      <c r="AZ47" s="22">
        <v>0</v>
      </c>
      <c r="BA47" s="22" t="e">
        <f>MAX(#REF!-AZ47,0)</f>
        <v>#REF!</v>
      </c>
      <c r="BB47" s="23" t="e">
        <f>IF(SUMPRODUCT($J$85:BA$85,$J47:BA47)&lt;0.5, "Pending", IF(BA47&lt;0.5, "Complete", "In Progress"))</f>
        <v>#REF!</v>
      </c>
      <c r="BC47" s="22">
        <v>0</v>
      </c>
      <c r="BD47" s="22" t="e">
        <f t="shared" si="0"/>
        <v>#REF!</v>
      </c>
      <c r="BE47" s="23" t="e">
        <f>IF(SUMPRODUCT($J$85:BD$85,$J47:BD47)&lt;0.5, "Pending", IF(BD47&lt;0.5, "Complete", "In Progress"))</f>
        <v>#REF!</v>
      </c>
      <c r="BF47" s="22">
        <v>0</v>
      </c>
      <c r="BG47" s="22" t="e">
        <f t="shared" si="1"/>
        <v>#REF!</v>
      </c>
      <c r="BH47" s="23" t="e">
        <f>IF(SUMPRODUCT($J$85:BG$85,$J47:BG47)&lt;0.5, "Pending", IF(BG47&lt;0.5, "Complete", "In Progress"))</f>
        <v>#REF!</v>
      </c>
      <c r="BI47" s="22">
        <v>0</v>
      </c>
      <c r="BJ47" s="22" t="e">
        <f t="shared" si="2"/>
        <v>#REF!</v>
      </c>
      <c r="BK47" s="23" t="e">
        <f>IF(SUMPRODUCT($J$85:BJ$85,$J47:BJ47)&lt;0.5, "Pending", IF(BJ47&lt;0.5, "Complete", "In Progress"))</f>
        <v>#REF!</v>
      </c>
      <c r="BL47" s="22">
        <v>0</v>
      </c>
      <c r="BM47" s="22" t="e">
        <f t="shared" si="3"/>
        <v>#REF!</v>
      </c>
      <c r="BN47" s="23" t="e">
        <f>IF(SUMPRODUCT($J$85:BM$85,$J47:BM47)&lt;0.5, "Pending", IF(BM47&lt;0.5, "Complete", "In Progress"))</f>
        <v>#REF!</v>
      </c>
      <c r="BO47" s="22">
        <v>0</v>
      </c>
      <c r="BP47" s="22" t="e">
        <f t="shared" si="4"/>
        <v>#REF!</v>
      </c>
      <c r="BQ47" s="23" t="e">
        <f>IF(SUMPRODUCT($J$85:BP$85,$J47:BP47)&lt;0.5, "Pending", IF(BP47&lt;0.5, "Complete", "In Progress"))</f>
        <v>#REF!</v>
      </c>
      <c r="BR47" s="22">
        <v>0</v>
      </c>
      <c r="BS47" s="22" t="e">
        <f t="shared" si="5"/>
        <v>#REF!</v>
      </c>
      <c r="BT47" s="23" t="e">
        <f>IF(SUMPRODUCT($J$85:BS$85,$J47:BS47)&lt;0.5, "Pending", IF(BS47&lt;0.5, "Complete", "In Progress"))</f>
        <v>#REF!</v>
      </c>
      <c r="BU47" s="22">
        <v>0</v>
      </c>
      <c r="BV47" s="22" t="e">
        <f t="shared" si="6"/>
        <v>#REF!</v>
      </c>
      <c r="BW47" s="23" t="e">
        <f>IF(SUMPRODUCT($J$85:BV$85,$J47:BV47)&lt;0.5, "Pending", IF(BV47&lt;0.5, "Complete", "In Progress"))</f>
        <v>#REF!</v>
      </c>
      <c r="BX47" s="22">
        <v>0</v>
      </c>
      <c r="BY47" s="22" t="e">
        <f t="shared" si="7"/>
        <v>#REF!</v>
      </c>
      <c r="BZ47" s="23" t="e">
        <f>IF(SUMPRODUCT($J$85:BY$85,$J47:BY47)&lt;0.5, "Pending", IF(BY47&lt;0.5, "Complete", "In Progress"))</f>
        <v>#REF!</v>
      </c>
      <c r="CA47" s="22">
        <v>0</v>
      </c>
      <c r="CB47" s="22" t="e">
        <f t="shared" si="8"/>
        <v>#REF!</v>
      </c>
      <c r="CC47" s="23" t="e">
        <f>IF(SUMPRODUCT($J$85:CB$85,$J47:CB47)&lt;0.5, "Pending", IF(CB47&lt;0.5, "Complete", "In Progress"))</f>
        <v>#REF!</v>
      </c>
      <c r="CD47" s="24"/>
      <c r="CE47" s="25">
        <f>SUMPRODUCT($H$85:AY$85,$H47:AY47)</f>
        <v>393</v>
      </c>
    </row>
    <row r="48" spans="1:83" ht="13.8" customHeight="1" x14ac:dyDescent="0.25">
      <c r="A48" s="16" t="s">
        <v>104</v>
      </c>
      <c r="B48" s="16" t="s">
        <v>111</v>
      </c>
      <c r="C48" s="16" t="s">
        <v>505</v>
      </c>
      <c r="D48" s="17" t="s">
        <v>173</v>
      </c>
      <c r="E48" s="158" t="s">
        <v>343</v>
      </c>
      <c r="F48" s="158" t="s">
        <v>494</v>
      </c>
      <c r="G48" s="19"/>
      <c r="H48" s="20">
        <v>1</v>
      </c>
      <c r="I48" s="21">
        <v>6</v>
      </c>
      <c r="J48" s="21">
        <v>0</v>
      </c>
      <c r="K48" s="21">
        <v>0</v>
      </c>
      <c r="L48" s="21">
        <v>0</v>
      </c>
      <c r="M48" s="21">
        <v>0</v>
      </c>
      <c r="N48" s="21">
        <v>0</v>
      </c>
      <c r="O48" s="21">
        <v>0</v>
      </c>
      <c r="P48" s="21">
        <v>0</v>
      </c>
      <c r="Q48" s="21">
        <v>0</v>
      </c>
      <c r="R48" s="21">
        <v>0</v>
      </c>
      <c r="S48" s="21">
        <v>0</v>
      </c>
      <c r="T48" s="21">
        <v>0</v>
      </c>
      <c r="U48" s="21">
        <v>0</v>
      </c>
      <c r="V48" s="21">
        <v>0</v>
      </c>
      <c r="W48" s="21">
        <v>0</v>
      </c>
      <c r="X48" s="21">
        <v>0</v>
      </c>
      <c r="Y48" s="21">
        <v>0</v>
      </c>
      <c r="Z48" s="21">
        <v>0</v>
      </c>
      <c r="AA48" s="21">
        <v>0</v>
      </c>
      <c r="AB48" s="21">
        <v>0</v>
      </c>
      <c r="AC48" s="21">
        <v>0</v>
      </c>
      <c r="AD48" s="21">
        <v>0</v>
      </c>
      <c r="AE48" s="21">
        <v>0</v>
      </c>
      <c r="AF48" s="21">
        <v>0</v>
      </c>
      <c r="AG48" s="21">
        <v>0</v>
      </c>
      <c r="AH48" s="21">
        <v>0</v>
      </c>
      <c r="AI48" s="21">
        <v>0</v>
      </c>
      <c r="AJ48" s="21">
        <v>0</v>
      </c>
      <c r="AK48" s="21">
        <v>0</v>
      </c>
      <c r="AL48" s="21">
        <v>0</v>
      </c>
      <c r="AM48" s="21">
        <v>0</v>
      </c>
      <c r="AN48" s="21">
        <v>0</v>
      </c>
      <c r="AO48" s="21">
        <v>0</v>
      </c>
      <c r="AP48" s="21">
        <v>0</v>
      </c>
      <c r="AQ48" s="21">
        <v>0</v>
      </c>
      <c r="AR48" s="21">
        <v>0</v>
      </c>
      <c r="AS48" s="21">
        <v>0</v>
      </c>
      <c r="AT48" s="21">
        <v>0</v>
      </c>
      <c r="AU48" s="21">
        <v>0</v>
      </c>
      <c r="AV48" s="21">
        <v>0</v>
      </c>
      <c r="AW48" s="21">
        <v>0</v>
      </c>
      <c r="AX48" s="21">
        <v>0</v>
      </c>
      <c r="AY48" s="21">
        <v>0</v>
      </c>
      <c r="AZ48" s="22">
        <v>0</v>
      </c>
      <c r="BA48" s="22" t="e">
        <f>MAX(#REF!-AZ48,0)</f>
        <v>#REF!</v>
      </c>
      <c r="BB48" s="23" t="e">
        <f>IF(SUMPRODUCT($J$85:BA$85,$J48:BA48)&lt;0.5, "Pending", IF(BA48&lt;0.5, "Complete", "In Progress"))</f>
        <v>#REF!</v>
      </c>
      <c r="BC48" s="22">
        <v>0</v>
      </c>
      <c r="BD48" s="22" t="e">
        <f t="shared" si="0"/>
        <v>#REF!</v>
      </c>
      <c r="BE48" s="23" t="e">
        <f>IF(SUMPRODUCT($J$85:BD$85,$J48:BD48)&lt;0.5, "Pending", IF(BD48&lt;0.5, "Complete", "In Progress"))</f>
        <v>#REF!</v>
      </c>
      <c r="BF48" s="22">
        <v>0</v>
      </c>
      <c r="BG48" s="22" t="e">
        <f t="shared" si="1"/>
        <v>#REF!</v>
      </c>
      <c r="BH48" s="23" t="e">
        <f>IF(SUMPRODUCT($J$85:BG$85,$J48:BG48)&lt;0.5, "Pending", IF(BG48&lt;0.5, "Complete", "In Progress"))</f>
        <v>#REF!</v>
      </c>
      <c r="BI48" s="22">
        <v>0</v>
      </c>
      <c r="BJ48" s="22" t="e">
        <f t="shared" si="2"/>
        <v>#REF!</v>
      </c>
      <c r="BK48" s="23" t="e">
        <f>IF(SUMPRODUCT($J$85:BJ$85,$J48:BJ48)&lt;0.5, "Pending", IF(BJ48&lt;0.5, "Complete", "In Progress"))</f>
        <v>#REF!</v>
      </c>
      <c r="BL48" s="22">
        <v>0</v>
      </c>
      <c r="BM48" s="22" t="e">
        <f t="shared" si="3"/>
        <v>#REF!</v>
      </c>
      <c r="BN48" s="23" t="e">
        <f>IF(SUMPRODUCT($J$85:BM$85,$J48:BM48)&lt;0.5, "Pending", IF(BM48&lt;0.5, "Complete", "In Progress"))</f>
        <v>#REF!</v>
      </c>
      <c r="BO48" s="22">
        <v>0</v>
      </c>
      <c r="BP48" s="22" t="e">
        <f t="shared" si="4"/>
        <v>#REF!</v>
      </c>
      <c r="BQ48" s="23" t="e">
        <f>IF(SUMPRODUCT($J$85:BP$85,$J48:BP48)&lt;0.5, "Pending", IF(BP48&lt;0.5, "Complete", "In Progress"))</f>
        <v>#REF!</v>
      </c>
      <c r="BR48" s="22">
        <v>0</v>
      </c>
      <c r="BS48" s="22" t="e">
        <f t="shared" si="5"/>
        <v>#REF!</v>
      </c>
      <c r="BT48" s="23" t="e">
        <f>IF(SUMPRODUCT($J$85:BS$85,$J48:BS48)&lt;0.5, "Pending", IF(BS48&lt;0.5, "Complete", "In Progress"))</f>
        <v>#REF!</v>
      </c>
      <c r="BU48" s="22">
        <v>0</v>
      </c>
      <c r="BV48" s="22" t="e">
        <f t="shared" si="6"/>
        <v>#REF!</v>
      </c>
      <c r="BW48" s="23" t="e">
        <f>IF(SUMPRODUCT($J$85:BV$85,$J48:BV48)&lt;0.5, "Pending", IF(BV48&lt;0.5, "Complete", "In Progress"))</f>
        <v>#REF!</v>
      </c>
      <c r="BX48" s="22">
        <v>0</v>
      </c>
      <c r="BY48" s="22" t="e">
        <f t="shared" si="7"/>
        <v>#REF!</v>
      </c>
      <c r="BZ48" s="23" t="e">
        <f>IF(SUMPRODUCT($J$85:BY$85,$J48:BY48)&lt;0.5, "Pending", IF(BY48&lt;0.5, "Complete", "In Progress"))</f>
        <v>#REF!</v>
      </c>
      <c r="CA48" s="22">
        <v>0</v>
      </c>
      <c r="CB48" s="22" t="e">
        <f t="shared" si="8"/>
        <v>#REF!</v>
      </c>
      <c r="CC48" s="23" t="e">
        <f>IF(SUMPRODUCT($J$85:CB$85,$J48:CB48)&lt;0.5, "Pending", IF(CB48&lt;0.5, "Complete", "In Progress"))</f>
        <v>#REF!</v>
      </c>
      <c r="CD48" s="24"/>
      <c r="CE48" s="25">
        <f>SUMPRODUCT($H$85:AY$85,$H48:AY48)</f>
        <v>43</v>
      </c>
    </row>
    <row r="49" spans="1:83" ht="13.8" customHeight="1" x14ac:dyDescent="0.25">
      <c r="A49" s="16" t="s">
        <v>103</v>
      </c>
      <c r="B49" s="16" t="s">
        <v>108</v>
      </c>
      <c r="C49" s="16" t="s">
        <v>505</v>
      </c>
      <c r="D49" s="17" t="s">
        <v>174</v>
      </c>
      <c r="E49" s="158" t="s">
        <v>344</v>
      </c>
      <c r="F49" s="158" t="s">
        <v>497</v>
      </c>
      <c r="G49" s="19"/>
      <c r="H49" s="20">
        <v>1</v>
      </c>
      <c r="I49" s="21">
        <v>6</v>
      </c>
      <c r="J49" s="21">
        <v>0</v>
      </c>
      <c r="K49" s="21">
        <v>0</v>
      </c>
      <c r="L49" s="21">
        <v>0</v>
      </c>
      <c r="M49" s="21">
        <v>0</v>
      </c>
      <c r="N49" s="21">
        <v>0</v>
      </c>
      <c r="O49" s="21">
        <v>0</v>
      </c>
      <c r="P49" s="21">
        <v>0</v>
      </c>
      <c r="Q49" s="21">
        <v>0</v>
      </c>
      <c r="R49" s="21">
        <v>0</v>
      </c>
      <c r="S49" s="21">
        <v>0</v>
      </c>
      <c r="T49" s="21">
        <v>0</v>
      </c>
      <c r="U49" s="21">
        <v>0</v>
      </c>
      <c r="V49" s="21">
        <v>0</v>
      </c>
      <c r="W49" s="21">
        <v>0</v>
      </c>
      <c r="X49" s="21">
        <v>0</v>
      </c>
      <c r="Y49" s="21">
        <v>0</v>
      </c>
      <c r="Z49" s="21">
        <v>0</v>
      </c>
      <c r="AA49" s="21">
        <v>0</v>
      </c>
      <c r="AB49" s="21">
        <v>0</v>
      </c>
      <c r="AC49" s="21">
        <v>0</v>
      </c>
      <c r="AD49" s="21">
        <v>0</v>
      </c>
      <c r="AE49" s="21">
        <v>0</v>
      </c>
      <c r="AF49" s="21">
        <v>0</v>
      </c>
      <c r="AG49" s="21">
        <v>0</v>
      </c>
      <c r="AH49" s="21">
        <v>0</v>
      </c>
      <c r="AI49" s="21">
        <v>0</v>
      </c>
      <c r="AJ49" s="21">
        <v>0</v>
      </c>
      <c r="AK49" s="21">
        <v>0</v>
      </c>
      <c r="AL49" s="21">
        <v>0</v>
      </c>
      <c r="AM49" s="21">
        <v>0</v>
      </c>
      <c r="AN49" s="21">
        <v>0</v>
      </c>
      <c r="AO49" s="21">
        <v>0</v>
      </c>
      <c r="AP49" s="21">
        <v>0</v>
      </c>
      <c r="AQ49" s="21">
        <v>0</v>
      </c>
      <c r="AR49" s="21">
        <v>0</v>
      </c>
      <c r="AS49" s="21">
        <v>0</v>
      </c>
      <c r="AT49" s="21">
        <v>0</v>
      </c>
      <c r="AU49" s="21">
        <v>0</v>
      </c>
      <c r="AV49" s="21">
        <v>0</v>
      </c>
      <c r="AW49" s="21">
        <v>0</v>
      </c>
      <c r="AX49" s="21">
        <v>0</v>
      </c>
      <c r="AY49" s="21">
        <v>0</v>
      </c>
      <c r="AZ49" s="22">
        <v>0</v>
      </c>
      <c r="BA49" s="22" t="e">
        <f>MAX(#REF!-AZ49,0)</f>
        <v>#REF!</v>
      </c>
      <c r="BB49" s="23" t="e">
        <f>IF(SUMPRODUCT($J$85:BA$85,$J49:BA49)&lt;0.5, "Pending", IF(BA49&lt;0.5, "Complete", "In Progress"))</f>
        <v>#REF!</v>
      </c>
      <c r="BC49" s="22">
        <v>0</v>
      </c>
      <c r="BD49" s="22" t="e">
        <f t="shared" si="0"/>
        <v>#REF!</v>
      </c>
      <c r="BE49" s="23" t="e">
        <f>IF(SUMPRODUCT($J$85:BD$85,$J49:BD49)&lt;0.5, "Pending", IF(BD49&lt;0.5, "Complete", "In Progress"))</f>
        <v>#REF!</v>
      </c>
      <c r="BF49" s="22">
        <v>0</v>
      </c>
      <c r="BG49" s="22" t="e">
        <f t="shared" si="1"/>
        <v>#REF!</v>
      </c>
      <c r="BH49" s="23" t="e">
        <f>IF(SUMPRODUCT($J$85:BG$85,$J49:BG49)&lt;0.5, "Pending", IF(BG49&lt;0.5, "Complete", "In Progress"))</f>
        <v>#REF!</v>
      </c>
      <c r="BI49" s="22">
        <v>0</v>
      </c>
      <c r="BJ49" s="22" t="e">
        <f t="shared" si="2"/>
        <v>#REF!</v>
      </c>
      <c r="BK49" s="23" t="e">
        <f>IF(SUMPRODUCT($J$85:BJ$85,$J49:BJ49)&lt;0.5, "Pending", IF(BJ49&lt;0.5, "Complete", "In Progress"))</f>
        <v>#REF!</v>
      </c>
      <c r="BL49" s="22">
        <v>0</v>
      </c>
      <c r="BM49" s="22" t="e">
        <f t="shared" si="3"/>
        <v>#REF!</v>
      </c>
      <c r="BN49" s="23" t="e">
        <f>IF(SUMPRODUCT($J$85:BM$85,$J49:BM49)&lt;0.5, "Pending", IF(BM49&lt;0.5, "Complete", "In Progress"))</f>
        <v>#REF!</v>
      </c>
      <c r="BO49" s="22">
        <v>0</v>
      </c>
      <c r="BP49" s="22" t="e">
        <f t="shared" si="4"/>
        <v>#REF!</v>
      </c>
      <c r="BQ49" s="23" t="e">
        <f>IF(SUMPRODUCT($J$85:BP$85,$J49:BP49)&lt;0.5, "Pending", IF(BP49&lt;0.5, "Complete", "In Progress"))</f>
        <v>#REF!</v>
      </c>
      <c r="BR49" s="22">
        <v>0</v>
      </c>
      <c r="BS49" s="22" t="e">
        <f t="shared" si="5"/>
        <v>#REF!</v>
      </c>
      <c r="BT49" s="23" t="e">
        <f>IF(SUMPRODUCT($J$85:BS$85,$J49:BS49)&lt;0.5, "Pending", IF(BS49&lt;0.5, "Complete", "In Progress"))</f>
        <v>#REF!</v>
      </c>
      <c r="BU49" s="22">
        <v>0</v>
      </c>
      <c r="BV49" s="22" t="e">
        <f t="shared" si="6"/>
        <v>#REF!</v>
      </c>
      <c r="BW49" s="23" t="e">
        <f>IF(SUMPRODUCT($J$85:BV$85,$J49:BV49)&lt;0.5, "Pending", IF(BV49&lt;0.5, "Complete", "In Progress"))</f>
        <v>#REF!</v>
      </c>
      <c r="BX49" s="22">
        <v>0</v>
      </c>
      <c r="BY49" s="22" t="e">
        <f t="shared" si="7"/>
        <v>#REF!</v>
      </c>
      <c r="BZ49" s="23" t="e">
        <f>IF(SUMPRODUCT($J$85:BY$85,$J49:BY49)&lt;0.5, "Pending", IF(BY49&lt;0.5, "Complete", "In Progress"))</f>
        <v>#REF!</v>
      </c>
      <c r="CA49" s="22">
        <v>0</v>
      </c>
      <c r="CB49" s="22" t="e">
        <f t="shared" si="8"/>
        <v>#REF!</v>
      </c>
      <c r="CC49" s="23" t="e">
        <f>IF(SUMPRODUCT($J$85:CB$85,$J49:CB49)&lt;0.5, "Pending", IF(CB49&lt;0.5, "Complete", "In Progress"))</f>
        <v>#REF!</v>
      </c>
      <c r="CD49" s="24"/>
      <c r="CE49" s="25">
        <f>SUMPRODUCT($H$85:AY$85,$H49:AY49)</f>
        <v>43</v>
      </c>
    </row>
    <row r="50" spans="1:83" ht="13.8" customHeight="1" x14ac:dyDescent="0.25">
      <c r="A50" s="16" t="s">
        <v>103</v>
      </c>
      <c r="B50" s="16" t="s">
        <v>114</v>
      </c>
      <c r="C50" s="16" t="s">
        <v>505</v>
      </c>
      <c r="D50" s="17" t="s">
        <v>175</v>
      </c>
      <c r="E50" s="158" t="s">
        <v>345</v>
      </c>
      <c r="F50" s="158" t="s">
        <v>498</v>
      </c>
      <c r="G50" s="19"/>
      <c r="H50" s="20">
        <v>1</v>
      </c>
      <c r="I50" s="21">
        <v>6</v>
      </c>
      <c r="J50" s="21">
        <v>0</v>
      </c>
      <c r="K50" s="21">
        <v>0</v>
      </c>
      <c r="L50" s="21">
        <v>0</v>
      </c>
      <c r="M50" s="21">
        <v>0</v>
      </c>
      <c r="N50" s="21">
        <v>0</v>
      </c>
      <c r="O50" s="21">
        <v>0</v>
      </c>
      <c r="P50" s="21">
        <v>0</v>
      </c>
      <c r="Q50" s="21">
        <v>0</v>
      </c>
      <c r="R50" s="21">
        <v>0</v>
      </c>
      <c r="S50" s="21">
        <v>0</v>
      </c>
      <c r="T50" s="21">
        <v>0</v>
      </c>
      <c r="U50" s="21">
        <v>0</v>
      </c>
      <c r="V50" s="21">
        <v>0</v>
      </c>
      <c r="W50" s="21">
        <v>0</v>
      </c>
      <c r="X50" s="21">
        <v>0</v>
      </c>
      <c r="Y50" s="21">
        <v>0</v>
      </c>
      <c r="Z50" s="21">
        <v>0</v>
      </c>
      <c r="AA50" s="21">
        <v>0</v>
      </c>
      <c r="AB50" s="21">
        <v>0</v>
      </c>
      <c r="AC50" s="21">
        <v>0</v>
      </c>
      <c r="AD50" s="21">
        <v>0</v>
      </c>
      <c r="AE50" s="21">
        <v>0</v>
      </c>
      <c r="AF50" s="21">
        <v>0</v>
      </c>
      <c r="AG50" s="21">
        <v>0</v>
      </c>
      <c r="AH50" s="21">
        <v>0</v>
      </c>
      <c r="AI50" s="21">
        <v>0</v>
      </c>
      <c r="AJ50" s="21">
        <v>0</v>
      </c>
      <c r="AK50" s="21">
        <v>0</v>
      </c>
      <c r="AL50" s="21">
        <v>0</v>
      </c>
      <c r="AM50" s="21">
        <v>0</v>
      </c>
      <c r="AN50" s="21">
        <v>0</v>
      </c>
      <c r="AO50" s="21">
        <v>0</v>
      </c>
      <c r="AP50" s="21">
        <v>0</v>
      </c>
      <c r="AQ50" s="21">
        <v>0</v>
      </c>
      <c r="AR50" s="21">
        <v>0</v>
      </c>
      <c r="AS50" s="21">
        <v>0</v>
      </c>
      <c r="AT50" s="21">
        <v>0</v>
      </c>
      <c r="AU50" s="21">
        <v>0</v>
      </c>
      <c r="AV50" s="21">
        <v>0</v>
      </c>
      <c r="AW50" s="21">
        <v>0</v>
      </c>
      <c r="AX50" s="21">
        <v>0</v>
      </c>
      <c r="AY50" s="21">
        <v>0</v>
      </c>
      <c r="AZ50" s="22">
        <v>0</v>
      </c>
      <c r="BA50" s="22" t="e">
        <f>MAX(#REF!-AZ50,0)</f>
        <v>#REF!</v>
      </c>
      <c r="BB50" s="23" t="e">
        <f>IF(SUMPRODUCT($J$85:BA$85,$J50:BA50)&lt;0.5, "Pending", IF(BA50&lt;0.5, "Complete", "In Progress"))</f>
        <v>#REF!</v>
      </c>
      <c r="BC50" s="22">
        <v>0</v>
      </c>
      <c r="BD50" s="22" t="e">
        <f t="shared" si="0"/>
        <v>#REF!</v>
      </c>
      <c r="BE50" s="23" t="e">
        <f>IF(SUMPRODUCT($J$85:BD$85,$J50:BD50)&lt;0.5, "Pending", IF(BD50&lt;0.5, "Complete", "In Progress"))</f>
        <v>#REF!</v>
      </c>
      <c r="BF50" s="22">
        <v>0</v>
      </c>
      <c r="BG50" s="22" t="e">
        <f t="shared" si="1"/>
        <v>#REF!</v>
      </c>
      <c r="BH50" s="23" t="e">
        <f>IF(SUMPRODUCT($J$85:BG$85,$J50:BG50)&lt;0.5, "Pending", IF(BG50&lt;0.5, "Complete", "In Progress"))</f>
        <v>#REF!</v>
      </c>
      <c r="BI50" s="22">
        <v>0</v>
      </c>
      <c r="BJ50" s="22" t="e">
        <f t="shared" si="2"/>
        <v>#REF!</v>
      </c>
      <c r="BK50" s="23" t="e">
        <f>IF(SUMPRODUCT($J$85:BJ$85,$J50:BJ50)&lt;0.5, "Pending", IF(BJ50&lt;0.5, "Complete", "In Progress"))</f>
        <v>#REF!</v>
      </c>
      <c r="BL50" s="22">
        <v>0</v>
      </c>
      <c r="BM50" s="22" t="e">
        <f t="shared" si="3"/>
        <v>#REF!</v>
      </c>
      <c r="BN50" s="23" t="e">
        <f>IF(SUMPRODUCT($J$85:BM$85,$J50:BM50)&lt;0.5, "Pending", IF(BM50&lt;0.5, "Complete", "In Progress"))</f>
        <v>#REF!</v>
      </c>
      <c r="BO50" s="22">
        <v>0</v>
      </c>
      <c r="BP50" s="22" t="e">
        <f t="shared" si="4"/>
        <v>#REF!</v>
      </c>
      <c r="BQ50" s="23" t="e">
        <f>IF(SUMPRODUCT($J$85:BP$85,$J50:BP50)&lt;0.5, "Pending", IF(BP50&lt;0.5, "Complete", "In Progress"))</f>
        <v>#REF!</v>
      </c>
      <c r="BR50" s="22">
        <v>0</v>
      </c>
      <c r="BS50" s="22" t="e">
        <f t="shared" si="5"/>
        <v>#REF!</v>
      </c>
      <c r="BT50" s="23" t="e">
        <f>IF(SUMPRODUCT($J$85:BS$85,$J50:BS50)&lt;0.5, "Pending", IF(BS50&lt;0.5, "Complete", "In Progress"))</f>
        <v>#REF!</v>
      </c>
      <c r="BU50" s="22">
        <v>0</v>
      </c>
      <c r="BV50" s="22" t="e">
        <f t="shared" si="6"/>
        <v>#REF!</v>
      </c>
      <c r="BW50" s="23" t="e">
        <f>IF(SUMPRODUCT($J$85:BV$85,$J50:BV50)&lt;0.5, "Pending", IF(BV50&lt;0.5, "Complete", "In Progress"))</f>
        <v>#REF!</v>
      </c>
      <c r="BX50" s="22">
        <v>0</v>
      </c>
      <c r="BY50" s="22" t="e">
        <f t="shared" si="7"/>
        <v>#REF!</v>
      </c>
      <c r="BZ50" s="23" t="e">
        <f>IF(SUMPRODUCT($J$85:BY$85,$J50:BY50)&lt;0.5, "Pending", IF(BY50&lt;0.5, "Complete", "In Progress"))</f>
        <v>#REF!</v>
      </c>
      <c r="CA50" s="22">
        <v>0</v>
      </c>
      <c r="CB50" s="22" t="e">
        <f t="shared" si="8"/>
        <v>#REF!</v>
      </c>
      <c r="CC50" s="23" t="e">
        <f>IF(SUMPRODUCT($J$85:CB$85,$J50:CB50)&lt;0.5, "Pending", IF(CB50&lt;0.5, "Complete", "In Progress"))</f>
        <v>#REF!</v>
      </c>
      <c r="CD50" s="24"/>
      <c r="CE50" s="25">
        <f>SUMPRODUCT($H$85:AY$85,$H50:AY50)</f>
        <v>43</v>
      </c>
    </row>
    <row r="51" spans="1:83" ht="13.8" customHeight="1" x14ac:dyDescent="0.25">
      <c r="A51" s="16" t="s">
        <v>103</v>
      </c>
      <c r="B51" s="16" t="s">
        <v>118</v>
      </c>
      <c r="C51" s="16" t="s">
        <v>505</v>
      </c>
      <c r="D51" s="17" t="s">
        <v>176</v>
      </c>
      <c r="E51" s="158" t="s">
        <v>346</v>
      </c>
      <c r="F51" s="158" t="s">
        <v>496</v>
      </c>
      <c r="G51" s="19"/>
      <c r="H51" s="20">
        <v>1</v>
      </c>
      <c r="I51" s="21">
        <v>6</v>
      </c>
      <c r="J51" s="21">
        <v>0</v>
      </c>
      <c r="K51" s="21">
        <v>0</v>
      </c>
      <c r="L51" s="21">
        <v>0</v>
      </c>
      <c r="M51" s="21">
        <v>0</v>
      </c>
      <c r="N51" s="21">
        <v>0</v>
      </c>
      <c r="O51" s="21">
        <v>0</v>
      </c>
      <c r="P51" s="21">
        <v>0</v>
      </c>
      <c r="Q51" s="21">
        <v>0</v>
      </c>
      <c r="R51" s="21">
        <v>0</v>
      </c>
      <c r="S51" s="21">
        <v>0</v>
      </c>
      <c r="T51" s="21">
        <v>0</v>
      </c>
      <c r="U51" s="21">
        <v>0</v>
      </c>
      <c r="V51" s="21">
        <v>0</v>
      </c>
      <c r="W51" s="21">
        <v>0</v>
      </c>
      <c r="X51" s="21">
        <v>0</v>
      </c>
      <c r="Y51" s="21">
        <v>0</v>
      </c>
      <c r="Z51" s="21">
        <v>0</v>
      </c>
      <c r="AA51" s="21">
        <v>0</v>
      </c>
      <c r="AB51" s="21">
        <v>0</v>
      </c>
      <c r="AC51" s="21">
        <v>0</v>
      </c>
      <c r="AD51" s="21">
        <v>0</v>
      </c>
      <c r="AE51" s="21">
        <v>0</v>
      </c>
      <c r="AF51" s="21">
        <v>0</v>
      </c>
      <c r="AG51" s="21">
        <v>0</v>
      </c>
      <c r="AH51" s="21">
        <v>0</v>
      </c>
      <c r="AI51" s="21">
        <v>0</v>
      </c>
      <c r="AJ51" s="21">
        <v>0</v>
      </c>
      <c r="AK51" s="21">
        <v>0</v>
      </c>
      <c r="AL51" s="21">
        <v>0</v>
      </c>
      <c r="AM51" s="21">
        <v>0</v>
      </c>
      <c r="AN51" s="21">
        <v>0</v>
      </c>
      <c r="AO51" s="21">
        <v>0</v>
      </c>
      <c r="AP51" s="21">
        <v>0</v>
      </c>
      <c r="AQ51" s="21">
        <v>0</v>
      </c>
      <c r="AR51" s="21">
        <v>0</v>
      </c>
      <c r="AS51" s="21">
        <v>0</v>
      </c>
      <c r="AT51" s="21">
        <v>0</v>
      </c>
      <c r="AU51" s="21">
        <v>0</v>
      </c>
      <c r="AV51" s="21">
        <v>0</v>
      </c>
      <c r="AW51" s="21">
        <v>0</v>
      </c>
      <c r="AX51" s="21">
        <v>0</v>
      </c>
      <c r="AY51" s="21">
        <v>0</v>
      </c>
      <c r="AZ51" s="22">
        <v>0</v>
      </c>
      <c r="BA51" s="22" t="e">
        <f>MAX(#REF!-AZ51,0)</f>
        <v>#REF!</v>
      </c>
      <c r="BB51" s="23" t="e">
        <f>IF(SUMPRODUCT($J$85:BA$85,$J51:BA51)&lt;0.5, "Pending", IF(BA51&lt;0.5, "Complete", "In Progress"))</f>
        <v>#REF!</v>
      </c>
      <c r="BC51" s="22">
        <v>0</v>
      </c>
      <c r="BD51" s="22" t="e">
        <f t="shared" si="0"/>
        <v>#REF!</v>
      </c>
      <c r="BE51" s="23" t="e">
        <f>IF(SUMPRODUCT($J$85:BD$85,$J51:BD51)&lt;0.5, "Pending", IF(BD51&lt;0.5, "Complete", "In Progress"))</f>
        <v>#REF!</v>
      </c>
      <c r="BF51" s="22">
        <v>0</v>
      </c>
      <c r="BG51" s="22" t="e">
        <f t="shared" si="1"/>
        <v>#REF!</v>
      </c>
      <c r="BH51" s="23" t="e">
        <f>IF(SUMPRODUCT($J$85:BG$85,$J51:BG51)&lt;0.5, "Pending", IF(BG51&lt;0.5, "Complete", "In Progress"))</f>
        <v>#REF!</v>
      </c>
      <c r="BI51" s="22">
        <v>0</v>
      </c>
      <c r="BJ51" s="22" t="e">
        <f t="shared" si="2"/>
        <v>#REF!</v>
      </c>
      <c r="BK51" s="23" t="e">
        <f>IF(SUMPRODUCT($J$85:BJ$85,$J51:BJ51)&lt;0.5, "Pending", IF(BJ51&lt;0.5, "Complete", "In Progress"))</f>
        <v>#REF!</v>
      </c>
      <c r="BL51" s="22">
        <v>0</v>
      </c>
      <c r="BM51" s="22" t="e">
        <f t="shared" si="3"/>
        <v>#REF!</v>
      </c>
      <c r="BN51" s="23" t="e">
        <f>IF(SUMPRODUCT($J$85:BM$85,$J51:BM51)&lt;0.5, "Pending", IF(BM51&lt;0.5, "Complete", "In Progress"))</f>
        <v>#REF!</v>
      </c>
      <c r="BO51" s="22">
        <v>0</v>
      </c>
      <c r="BP51" s="22" t="e">
        <f t="shared" si="4"/>
        <v>#REF!</v>
      </c>
      <c r="BQ51" s="23" t="e">
        <f>IF(SUMPRODUCT($J$85:BP$85,$J51:BP51)&lt;0.5, "Pending", IF(BP51&lt;0.5, "Complete", "In Progress"))</f>
        <v>#REF!</v>
      </c>
      <c r="BR51" s="22">
        <v>0</v>
      </c>
      <c r="BS51" s="22" t="e">
        <f t="shared" si="5"/>
        <v>#REF!</v>
      </c>
      <c r="BT51" s="23" t="e">
        <f>IF(SUMPRODUCT($J$85:BS$85,$J51:BS51)&lt;0.5, "Pending", IF(BS51&lt;0.5, "Complete", "In Progress"))</f>
        <v>#REF!</v>
      </c>
      <c r="BU51" s="22">
        <v>0</v>
      </c>
      <c r="BV51" s="22" t="e">
        <f t="shared" si="6"/>
        <v>#REF!</v>
      </c>
      <c r="BW51" s="23" t="e">
        <f>IF(SUMPRODUCT($J$85:BV$85,$J51:BV51)&lt;0.5, "Pending", IF(BV51&lt;0.5, "Complete", "In Progress"))</f>
        <v>#REF!</v>
      </c>
      <c r="BX51" s="22">
        <v>0</v>
      </c>
      <c r="BY51" s="22" t="e">
        <f t="shared" si="7"/>
        <v>#REF!</v>
      </c>
      <c r="BZ51" s="23" t="e">
        <f>IF(SUMPRODUCT($J$85:BY$85,$J51:BY51)&lt;0.5, "Pending", IF(BY51&lt;0.5, "Complete", "In Progress"))</f>
        <v>#REF!</v>
      </c>
      <c r="CA51" s="22">
        <v>0</v>
      </c>
      <c r="CB51" s="22" t="e">
        <f t="shared" si="8"/>
        <v>#REF!</v>
      </c>
      <c r="CC51" s="23" t="e">
        <f>IF(SUMPRODUCT($J$85:CB$85,$J51:CB51)&lt;0.5, "Pending", IF(CB51&lt;0.5, "Complete", "In Progress"))</f>
        <v>#REF!</v>
      </c>
      <c r="CD51" s="24"/>
      <c r="CE51" s="25">
        <f>SUMPRODUCT($H$85:AY$85,$H51:AY51)</f>
        <v>43</v>
      </c>
    </row>
    <row r="52" spans="1:83" ht="13.8" customHeight="1" x14ac:dyDescent="0.25">
      <c r="A52" s="16" t="s">
        <v>104</v>
      </c>
      <c r="B52" s="16" t="s">
        <v>111</v>
      </c>
      <c r="C52" s="16" t="s">
        <v>505</v>
      </c>
      <c r="D52" s="17" t="s">
        <v>177</v>
      </c>
      <c r="E52" s="158" t="s">
        <v>347</v>
      </c>
      <c r="F52" s="158" t="s">
        <v>495</v>
      </c>
      <c r="G52" s="169"/>
      <c r="H52" s="20">
        <v>1</v>
      </c>
      <c r="I52" s="21">
        <v>6</v>
      </c>
      <c r="J52" s="21">
        <v>0</v>
      </c>
      <c r="K52" s="21">
        <v>0</v>
      </c>
      <c r="L52" s="21">
        <v>0</v>
      </c>
      <c r="M52" s="21">
        <v>0</v>
      </c>
      <c r="N52" s="21">
        <v>0</v>
      </c>
      <c r="O52" s="21">
        <v>0</v>
      </c>
      <c r="P52" s="21">
        <v>0</v>
      </c>
      <c r="Q52" s="21">
        <v>0</v>
      </c>
      <c r="R52" s="21">
        <v>0</v>
      </c>
      <c r="S52" s="21">
        <v>0</v>
      </c>
      <c r="T52" s="21">
        <v>0</v>
      </c>
      <c r="U52" s="21">
        <v>0</v>
      </c>
      <c r="V52" s="21">
        <v>0</v>
      </c>
      <c r="W52" s="21">
        <v>0</v>
      </c>
      <c r="X52" s="21">
        <v>0</v>
      </c>
      <c r="Y52" s="21">
        <v>0</v>
      </c>
      <c r="Z52" s="21">
        <v>0</v>
      </c>
      <c r="AA52" s="21">
        <v>0</v>
      </c>
      <c r="AB52" s="21">
        <v>0</v>
      </c>
      <c r="AC52" s="21">
        <v>0</v>
      </c>
      <c r="AD52" s="21">
        <v>0</v>
      </c>
      <c r="AE52" s="21">
        <v>0</v>
      </c>
      <c r="AF52" s="21">
        <v>0</v>
      </c>
      <c r="AG52" s="21">
        <v>0</v>
      </c>
      <c r="AH52" s="21">
        <v>0</v>
      </c>
      <c r="AI52" s="21">
        <v>0</v>
      </c>
      <c r="AJ52" s="21">
        <v>0</v>
      </c>
      <c r="AK52" s="21">
        <v>0</v>
      </c>
      <c r="AL52" s="21">
        <v>0</v>
      </c>
      <c r="AM52" s="21">
        <v>0</v>
      </c>
      <c r="AN52" s="21">
        <v>0</v>
      </c>
      <c r="AO52" s="21">
        <v>0</v>
      </c>
      <c r="AP52" s="21">
        <v>0</v>
      </c>
      <c r="AQ52" s="21">
        <v>0</v>
      </c>
      <c r="AR52" s="21">
        <v>0</v>
      </c>
      <c r="AS52" s="21">
        <v>0</v>
      </c>
      <c r="AT52" s="21">
        <v>0</v>
      </c>
      <c r="AU52" s="21">
        <v>0</v>
      </c>
      <c r="AV52" s="21">
        <v>0</v>
      </c>
      <c r="AW52" s="21">
        <v>0</v>
      </c>
      <c r="AX52" s="21">
        <v>0</v>
      </c>
      <c r="AY52" s="21">
        <v>0</v>
      </c>
      <c r="AZ52" s="22">
        <v>0</v>
      </c>
      <c r="BA52" s="22" t="e">
        <f>MAX(#REF!-AZ52,0)</f>
        <v>#REF!</v>
      </c>
      <c r="BB52" s="23" t="e">
        <f>IF(SUMPRODUCT($J$85:BA$85,$J52:BA52)&lt;0.5, "Pending", IF(BA52&lt;0.5, "Complete", "In Progress"))</f>
        <v>#REF!</v>
      </c>
      <c r="BC52" s="22">
        <v>0</v>
      </c>
      <c r="BD52" s="22" t="e">
        <f t="shared" si="0"/>
        <v>#REF!</v>
      </c>
      <c r="BE52" s="23" t="e">
        <f>IF(SUMPRODUCT($J$85:BD$85,$J52:BD52)&lt;0.5, "Pending", IF(BD52&lt;0.5, "Complete", "In Progress"))</f>
        <v>#REF!</v>
      </c>
      <c r="BF52" s="22">
        <v>0</v>
      </c>
      <c r="BG52" s="22" t="e">
        <f t="shared" si="1"/>
        <v>#REF!</v>
      </c>
      <c r="BH52" s="23" t="e">
        <f>IF(SUMPRODUCT($J$85:BG$85,$J52:BG52)&lt;0.5, "Pending", IF(BG52&lt;0.5, "Complete", "In Progress"))</f>
        <v>#REF!</v>
      </c>
      <c r="BI52" s="22">
        <v>0</v>
      </c>
      <c r="BJ52" s="22" t="e">
        <f t="shared" si="2"/>
        <v>#REF!</v>
      </c>
      <c r="BK52" s="23" t="e">
        <f>IF(SUMPRODUCT($J$85:BJ$85,$J52:BJ52)&lt;0.5, "Pending", IF(BJ52&lt;0.5, "Complete", "In Progress"))</f>
        <v>#REF!</v>
      </c>
      <c r="BL52" s="22">
        <v>0</v>
      </c>
      <c r="BM52" s="22" t="e">
        <f t="shared" si="3"/>
        <v>#REF!</v>
      </c>
      <c r="BN52" s="23" t="e">
        <f>IF(SUMPRODUCT($J$85:BM$85,$J52:BM52)&lt;0.5, "Pending", IF(BM52&lt;0.5, "Complete", "In Progress"))</f>
        <v>#REF!</v>
      </c>
      <c r="BO52" s="22">
        <v>0</v>
      </c>
      <c r="BP52" s="22" t="e">
        <f t="shared" si="4"/>
        <v>#REF!</v>
      </c>
      <c r="BQ52" s="23" t="e">
        <f>IF(SUMPRODUCT($J$85:BP$85,$J52:BP52)&lt;0.5, "Pending", IF(BP52&lt;0.5, "Complete", "In Progress"))</f>
        <v>#REF!</v>
      </c>
      <c r="BR52" s="22">
        <v>0</v>
      </c>
      <c r="BS52" s="22" t="e">
        <f t="shared" si="5"/>
        <v>#REF!</v>
      </c>
      <c r="BT52" s="23" t="e">
        <f>IF(SUMPRODUCT($J$85:BS$85,$J52:BS52)&lt;0.5, "Pending", IF(BS52&lt;0.5, "Complete", "In Progress"))</f>
        <v>#REF!</v>
      </c>
      <c r="BU52" s="22">
        <v>0</v>
      </c>
      <c r="BV52" s="22" t="e">
        <f t="shared" si="6"/>
        <v>#REF!</v>
      </c>
      <c r="BW52" s="23" t="e">
        <f>IF(SUMPRODUCT($J$85:BV$85,$J52:BV52)&lt;0.5, "Pending", IF(BV52&lt;0.5, "Complete", "In Progress"))</f>
        <v>#REF!</v>
      </c>
      <c r="BX52" s="22">
        <v>0</v>
      </c>
      <c r="BY52" s="22" t="e">
        <f t="shared" si="7"/>
        <v>#REF!</v>
      </c>
      <c r="BZ52" s="23" t="e">
        <f>IF(SUMPRODUCT($J$85:BY$85,$J52:BY52)&lt;0.5, "Pending", IF(BY52&lt;0.5, "Complete", "In Progress"))</f>
        <v>#REF!</v>
      </c>
      <c r="CA52" s="22">
        <v>0</v>
      </c>
      <c r="CB52" s="22" t="e">
        <f t="shared" si="8"/>
        <v>#REF!</v>
      </c>
      <c r="CC52" s="23" t="e">
        <f>IF(SUMPRODUCT($J$85:CB$85,$J52:CB52)&lt;0.5, "Pending", IF(CB52&lt;0.5, "Complete", "In Progress"))</f>
        <v>#REF!</v>
      </c>
      <c r="CD52" s="24"/>
      <c r="CE52" s="25">
        <f>SUMPRODUCT($H$85:AY$85,$H52:AY52)</f>
        <v>43</v>
      </c>
    </row>
    <row r="53" spans="1:83" ht="13.8" customHeight="1" x14ac:dyDescent="0.25">
      <c r="A53" s="16" t="s">
        <v>103</v>
      </c>
      <c r="B53" s="16" t="s">
        <v>117</v>
      </c>
      <c r="C53" s="16" t="s">
        <v>505</v>
      </c>
      <c r="D53" s="17" t="s">
        <v>178</v>
      </c>
      <c r="E53" s="158" t="s">
        <v>348</v>
      </c>
      <c r="F53" s="158" t="s">
        <v>493</v>
      </c>
      <c r="G53" s="168"/>
      <c r="H53" s="20">
        <v>1</v>
      </c>
      <c r="I53" s="21">
        <v>56</v>
      </c>
      <c r="J53" s="21">
        <v>0</v>
      </c>
      <c r="K53" s="21">
        <v>0</v>
      </c>
      <c r="L53" s="21">
        <v>0</v>
      </c>
      <c r="M53" s="21">
        <v>0</v>
      </c>
      <c r="N53" s="21">
        <v>0</v>
      </c>
      <c r="O53" s="21">
        <v>0</v>
      </c>
      <c r="P53" s="21">
        <v>0</v>
      </c>
      <c r="Q53" s="21">
        <v>0</v>
      </c>
      <c r="R53" s="21">
        <v>0</v>
      </c>
      <c r="S53" s="21">
        <v>0</v>
      </c>
      <c r="T53" s="21">
        <v>0</v>
      </c>
      <c r="U53" s="21">
        <v>0</v>
      </c>
      <c r="V53" s="21">
        <v>0</v>
      </c>
      <c r="W53" s="21">
        <v>0</v>
      </c>
      <c r="X53" s="21">
        <v>0</v>
      </c>
      <c r="Y53" s="21">
        <v>0</v>
      </c>
      <c r="Z53" s="21">
        <v>0</v>
      </c>
      <c r="AA53" s="21">
        <v>0</v>
      </c>
      <c r="AB53" s="21">
        <v>0</v>
      </c>
      <c r="AC53" s="21">
        <v>0</v>
      </c>
      <c r="AD53" s="21">
        <v>0</v>
      </c>
      <c r="AE53" s="21">
        <v>0</v>
      </c>
      <c r="AF53" s="21">
        <v>0</v>
      </c>
      <c r="AG53" s="21">
        <v>0</v>
      </c>
      <c r="AH53" s="21">
        <v>0</v>
      </c>
      <c r="AI53" s="21">
        <v>0</v>
      </c>
      <c r="AJ53" s="21">
        <v>0</v>
      </c>
      <c r="AK53" s="21">
        <v>0</v>
      </c>
      <c r="AL53" s="21">
        <v>0</v>
      </c>
      <c r="AM53" s="21">
        <v>0</v>
      </c>
      <c r="AN53" s="21">
        <v>0</v>
      </c>
      <c r="AO53" s="21">
        <v>0</v>
      </c>
      <c r="AP53" s="21">
        <v>0</v>
      </c>
      <c r="AQ53" s="21">
        <v>0</v>
      </c>
      <c r="AR53" s="21">
        <v>0</v>
      </c>
      <c r="AS53" s="21">
        <v>0</v>
      </c>
      <c r="AT53" s="21">
        <v>0</v>
      </c>
      <c r="AU53" s="21">
        <v>0</v>
      </c>
      <c r="AV53" s="21">
        <v>0</v>
      </c>
      <c r="AW53" s="21">
        <v>0</v>
      </c>
      <c r="AX53" s="21">
        <v>0</v>
      </c>
      <c r="AY53" s="21">
        <v>0</v>
      </c>
      <c r="AZ53" s="22">
        <v>0</v>
      </c>
      <c r="BA53" s="22" t="e">
        <f>MAX(#REF!-AZ53,0)</f>
        <v>#REF!</v>
      </c>
      <c r="BB53" s="23" t="e">
        <f>IF(SUMPRODUCT($J$85:BA$85,$J53:BA53)&lt;0.5, "Pending", IF(BA53&lt;0.5, "Complete", "In Progress"))</f>
        <v>#REF!</v>
      </c>
      <c r="BC53" s="22">
        <v>0</v>
      </c>
      <c r="BD53" s="22" t="e">
        <f t="shared" si="0"/>
        <v>#REF!</v>
      </c>
      <c r="BE53" s="23" t="e">
        <f>IF(SUMPRODUCT($J$85:BD$85,$J53:BD53)&lt;0.5, "Pending", IF(BD53&lt;0.5, "Complete", "In Progress"))</f>
        <v>#REF!</v>
      </c>
      <c r="BF53" s="22">
        <v>0</v>
      </c>
      <c r="BG53" s="22" t="e">
        <f t="shared" si="1"/>
        <v>#REF!</v>
      </c>
      <c r="BH53" s="23" t="e">
        <f>IF(SUMPRODUCT($J$85:BG$85,$J53:BG53)&lt;0.5, "Pending", IF(BG53&lt;0.5, "Complete", "In Progress"))</f>
        <v>#REF!</v>
      </c>
      <c r="BI53" s="22">
        <v>0</v>
      </c>
      <c r="BJ53" s="22" t="e">
        <f t="shared" si="2"/>
        <v>#REF!</v>
      </c>
      <c r="BK53" s="23" t="e">
        <f>IF(SUMPRODUCT($J$85:BJ$85,$J53:BJ53)&lt;0.5, "Pending", IF(BJ53&lt;0.5, "Complete", "In Progress"))</f>
        <v>#REF!</v>
      </c>
      <c r="BL53" s="22">
        <v>0</v>
      </c>
      <c r="BM53" s="22" t="e">
        <f t="shared" si="3"/>
        <v>#REF!</v>
      </c>
      <c r="BN53" s="23" t="e">
        <f>IF(SUMPRODUCT($J$85:BM$85,$J53:BM53)&lt;0.5, "Pending", IF(BM53&lt;0.5, "Complete", "In Progress"))</f>
        <v>#REF!</v>
      </c>
      <c r="BO53" s="22">
        <v>0</v>
      </c>
      <c r="BP53" s="22" t="e">
        <f t="shared" si="4"/>
        <v>#REF!</v>
      </c>
      <c r="BQ53" s="23" t="e">
        <f>IF(SUMPRODUCT($J$85:BP$85,$J53:BP53)&lt;0.5, "Pending", IF(BP53&lt;0.5, "Complete", "In Progress"))</f>
        <v>#REF!</v>
      </c>
      <c r="BR53" s="22">
        <v>0</v>
      </c>
      <c r="BS53" s="22" t="e">
        <f t="shared" si="5"/>
        <v>#REF!</v>
      </c>
      <c r="BT53" s="23" t="e">
        <f>IF(SUMPRODUCT($J$85:BS$85,$J53:BS53)&lt;0.5, "Pending", IF(BS53&lt;0.5, "Complete", "In Progress"))</f>
        <v>#REF!</v>
      </c>
      <c r="BU53" s="22">
        <v>0</v>
      </c>
      <c r="BV53" s="22" t="e">
        <f t="shared" si="6"/>
        <v>#REF!</v>
      </c>
      <c r="BW53" s="23" t="e">
        <f>IF(SUMPRODUCT($J$85:BV$85,$J53:BV53)&lt;0.5, "Pending", IF(BV53&lt;0.5, "Complete", "In Progress"))</f>
        <v>#REF!</v>
      </c>
      <c r="BX53" s="22">
        <v>0</v>
      </c>
      <c r="BY53" s="22" t="e">
        <f t="shared" si="7"/>
        <v>#REF!</v>
      </c>
      <c r="BZ53" s="23" t="e">
        <f>IF(SUMPRODUCT($J$85:BY$85,$J53:BY53)&lt;0.5, "Pending", IF(BY53&lt;0.5, "Complete", "In Progress"))</f>
        <v>#REF!</v>
      </c>
      <c r="CA53" s="22">
        <v>0</v>
      </c>
      <c r="CB53" s="22" t="e">
        <f t="shared" si="8"/>
        <v>#REF!</v>
      </c>
      <c r="CC53" s="23" t="e">
        <f>IF(SUMPRODUCT($J$85:CB$85,$J53:CB53)&lt;0.5, "Pending", IF(CB53&lt;0.5, "Complete", "In Progress"))</f>
        <v>#REF!</v>
      </c>
      <c r="CD53" s="24"/>
      <c r="CE53" s="25">
        <f>SUMPRODUCT($H$85:AY$85,$H53:AY53)</f>
        <v>393</v>
      </c>
    </row>
    <row r="54" spans="1:83" ht="13.8" customHeight="1" x14ac:dyDescent="0.25">
      <c r="A54" s="16" t="s">
        <v>103</v>
      </c>
      <c r="B54" s="16" t="s">
        <v>108</v>
      </c>
      <c r="C54" s="16" t="s">
        <v>504</v>
      </c>
      <c r="D54" s="17">
        <v>3.2</v>
      </c>
      <c r="E54" s="158" t="s">
        <v>349</v>
      </c>
      <c r="F54" s="158" t="s">
        <v>494</v>
      </c>
      <c r="G54" s="19"/>
      <c r="H54" s="20">
        <v>1</v>
      </c>
      <c r="I54" s="21">
        <v>6</v>
      </c>
      <c r="J54" s="21">
        <v>0</v>
      </c>
      <c r="K54" s="21">
        <v>0</v>
      </c>
      <c r="L54" s="21">
        <v>0</v>
      </c>
      <c r="M54" s="21">
        <v>0</v>
      </c>
      <c r="N54" s="21">
        <v>0</v>
      </c>
      <c r="O54" s="21">
        <v>0</v>
      </c>
      <c r="P54" s="21">
        <v>0</v>
      </c>
      <c r="Q54" s="21">
        <v>0</v>
      </c>
      <c r="R54" s="21">
        <v>0</v>
      </c>
      <c r="S54" s="21">
        <v>0</v>
      </c>
      <c r="T54" s="21">
        <v>0</v>
      </c>
      <c r="U54" s="21">
        <v>0</v>
      </c>
      <c r="V54" s="21">
        <v>0</v>
      </c>
      <c r="W54" s="21">
        <v>0</v>
      </c>
      <c r="X54" s="21">
        <v>0</v>
      </c>
      <c r="Y54" s="21">
        <v>0</v>
      </c>
      <c r="Z54" s="21">
        <v>0</v>
      </c>
      <c r="AA54" s="21">
        <v>0</v>
      </c>
      <c r="AB54" s="21">
        <v>0</v>
      </c>
      <c r="AC54" s="21">
        <v>0</v>
      </c>
      <c r="AD54" s="21">
        <v>0</v>
      </c>
      <c r="AE54" s="21">
        <v>0</v>
      </c>
      <c r="AF54" s="21">
        <v>0</v>
      </c>
      <c r="AG54" s="21">
        <v>0</v>
      </c>
      <c r="AH54" s="21">
        <v>0</v>
      </c>
      <c r="AI54" s="21">
        <v>0</v>
      </c>
      <c r="AJ54" s="21">
        <v>0</v>
      </c>
      <c r="AK54" s="21">
        <v>0</v>
      </c>
      <c r="AL54" s="21">
        <v>0</v>
      </c>
      <c r="AM54" s="21">
        <v>0</v>
      </c>
      <c r="AN54" s="21">
        <v>0</v>
      </c>
      <c r="AO54" s="21">
        <v>0</v>
      </c>
      <c r="AP54" s="21">
        <v>0</v>
      </c>
      <c r="AQ54" s="21">
        <v>0</v>
      </c>
      <c r="AR54" s="21">
        <v>0</v>
      </c>
      <c r="AS54" s="21">
        <v>0</v>
      </c>
      <c r="AT54" s="21">
        <v>0</v>
      </c>
      <c r="AU54" s="21">
        <v>0</v>
      </c>
      <c r="AV54" s="21">
        <v>0</v>
      </c>
      <c r="AW54" s="21">
        <v>0</v>
      </c>
      <c r="AX54" s="21">
        <v>0</v>
      </c>
      <c r="AY54" s="21">
        <v>0</v>
      </c>
      <c r="AZ54" s="22">
        <v>0</v>
      </c>
      <c r="BA54" s="22" t="e">
        <f>MAX(#REF!-AZ54,0)</f>
        <v>#REF!</v>
      </c>
      <c r="BB54" s="23" t="e">
        <f>IF(SUMPRODUCT($J$85:BA$85,$J54:BA54)&lt;0.5, "Pending", IF(BA54&lt;0.5, "Complete", "In Progress"))</f>
        <v>#REF!</v>
      </c>
      <c r="BC54" s="22">
        <v>0</v>
      </c>
      <c r="BD54" s="22" t="e">
        <f t="shared" si="0"/>
        <v>#REF!</v>
      </c>
      <c r="BE54" s="23" t="e">
        <f>IF(SUMPRODUCT($J$85:BD$85,$J54:BD54)&lt;0.5, "Pending", IF(BD54&lt;0.5, "Complete", "In Progress"))</f>
        <v>#REF!</v>
      </c>
      <c r="BF54" s="22">
        <v>0</v>
      </c>
      <c r="BG54" s="22" t="e">
        <f t="shared" si="1"/>
        <v>#REF!</v>
      </c>
      <c r="BH54" s="23" t="e">
        <f>IF(SUMPRODUCT($J$85:BG$85,$J54:BG54)&lt;0.5, "Pending", IF(BG54&lt;0.5, "Complete", "In Progress"))</f>
        <v>#REF!</v>
      </c>
      <c r="BI54" s="22">
        <v>0</v>
      </c>
      <c r="BJ54" s="22" t="e">
        <f t="shared" si="2"/>
        <v>#REF!</v>
      </c>
      <c r="BK54" s="23" t="e">
        <f>IF(SUMPRODUCT($J$85:BJ$85,$J54:BJ54)&lt;0.5, "Pending", IF(BJ54&lt;0.5, "Complete", "In Progress"))</f>
        <v>#REF!</v>
      </c>
      <c r="BL54" s="22">
        <v>0</v>
      </c>
      <c r="BM54" s="22" t="e">
        <f t="shared" si="3"/>
        <v>#REF!</v>
      </c>
      <c r="BN54" s="23" t="e">
        <f>IF(SUMPRODUCT($J$85:BM$85,$J54:BM54)&lt;0.5, "Pending", IF(BM54&lt;0.5, "Complete", "In Progress"))</f>
        <v>#REF!</v>
      </c>
      <c r="BO54" s="22">
        <v>0</v>
      </c>
      <c r="BP54" s="22" t="e">
        <f t="shared" si="4"/>
        <v>#REF!</v>
      </c>
      <c r="BQ54" s="23" t="e">
        <f>IF(SUMPRODUCT($J$85:BP$85,$J54:BP54)&lt;0.5, "Pending", IF(BP54&lt;0.5, "Complete", "In Progress"))</f>
        <v>#REF!</v>
      </c>
      <c r="BR54" s="22">
        <v>0</v>
      </c>
      <c r="BS54" s="22" t="e">
        <f t="shared" si="5"/>
        <v>#REF!</v>
      </c>
      <c r="BT54" s="23" t="e">
        <f>IF(SUMPRODUCT($J$85:BS$85,$J54:BS54)&lt;0.5, "Pending", IF(BS54&lt;0.5, "Complete", "In Progress"))</f>
        <v>#REF!</v>
      </c>
      <c r="BU54" s="22">
        <v>0</v>
      </c>
      <c r="BV54" s="22" t="e">
        <f t="shared" si="6"/>
        <v>#REF!</v>
      </c>
      <c r="BW54" s="23" t="e">
        <f>IF(SUMPRODUCT($J$85:BV$85,$J54:BV54)&lt;0.5, "Pending", IF(BV54&lt;0.5, "Complete", "In Progress"))</f>
        <v>#REF!</v>
      </c>
      <c r="BX54" s="22">
        <v>0</v>
      </c>
      <c r="BY54" s="22" t="e">
        <f t="shared" si="7"/>
        <v>#REF!</v>
      </c>
      <c r="BZ54" s="23" t="e">
        <f>IF(SUMPRODUCT($J$85:BY$85,$J54:BY54)&lt;0.5, "Pending", IF(BY54&lt;0.5, "Complete", "In Progress"))</f>
        <v>#REF!</v>
      </c>
      <c r="CA54" s="22">
        <v>0</v>
      </c>
      <c r="CB54" s="22" t="e">
        <f t="shared" si="8"/>
        <v>#REF!</v>
      </c>
      <c r="CC54" s="23" t="e">
        <f>IF(SUMPRODUCT($J$85:CB$85,$J54:CB54)&lt;0.5, "Pending", IF(CB54&lt;0.5, "Complete", "In Progress"))</f>
        <v>#REF!</v>
      </c>
      <c r="CD54" s="24"/>
      <c r="CE54" s="25">
        <f>SUMPRODUCT($H$85:AY$85,$H54:AY54)</f>
        <v>43</v>
      </c>
    </row>
    <row r="55" spans="1:83" ht="13.8" customHeight="1" x14ac:dyDescent="0.25">
      <c r="A55" s="16" t="s">
        <v>103</v>
      </c>
      <c r="B55" s="16" t="s">
        <v>110</v>
      </c>
      <c r="C55" s="16" t="s">
        <v>506</v>
      </c>
      <c r="D55" s="17" t="s">
        <v>179</v>
      </c>
      <c r="E55" s="158" t="s">
        <v>350</v>
      </c>
      <c r="F55" s="158" t="s">
        <v>497</v>
      </c>
      <c r="G55" s="19"/>
      <c r="H55" s="20">
        <v>1</v>
      </c>
      <c r="I55" s="21">
        <v>6</v>
      </c>
      <c r="J55" s="21">
        <v>0</v>
      </c>
      <c r="K55" s="21">
        <v>0</v>
      </c>
      <c r="L55" s="21">
        <v>0</v>
      </c>
      <c r="M55" s="21">
        <v>0</v>
      </c>
      <c r="N55" s="21">
        <v>0</v>
      </c>
      <c r="O55" s="21">
        <v>0</v>
      </c>
      <c r="P55" s="21">
        <v>0</v>
      </c>
      <c r="Q55" s="21">
        <v>0</v>
      </c>
      <c r="R55" s="21">
        <v>0</v>
      </c>
      <c r="S55" s="21">
        <v>0</v>
      </c>
      <c r="T55" s="21">
        <v>0</v>
      </c>
      <c r="U55" s="21">
        <v>0</v>
      </c>
      <c r="V55" s="21">
        <v>0</v>
      </c>
      <c r="W55" s="21">
        <v>0</v>
      </c>
      <c r="X55" s="21">
        <v>0</v>
      </c>
      <c r="Y55" s="21">
        <v>0</v>
      </c>
      <c r="Z55" s="21">
        <v>0</v>
      </c>
      <c r="AA55" s="21">
        <v>0</v>
      </c>
      <c r="AB55" s="21">
        <v>0</v>
      </c>
      <c r="AC55" s="21">
        <v>0</v>
      </c>
      <c r="AD55" s="21">
        <v>0</v>
      </c>
      <c r="AE55" s="21">
        <v>0</v>
      </c>
      <c r="AF55" s="21">
        <v>0</v>
      </c>
      <c r="AG55" s="21">
        <v>0</v>
      </c>
      <c r="AH55" s="21">
        <v>0</v>
      </c>
      <c r="AI55" s="21">
        <v>0</v>
      </c>
      <c r="AJ55" s="21">
        <v>0</v>
      </c>
      <c r="AK55" s="21">
        <v>0</v>
      </c>
      <c r="AL55" s="21">
        <v>0</v>
      </c>
      <c r="AM55" s="21">
        <v>0</v>
      </c>
      <c r="AN55" s="21">
        <v>0</v>
      </c>
      <c r="AO55" s="21">
        <v>0</v>
      </c>
      <c r="AP55" s="21">
        <v>0</v>
      </c>
      <c r="AQ55" s="21">
        <v>0</v>
      </c>
      <c r="AR55" s="21">
        <v>0</v>
      </c>
      <c r="AS55" s="21">
        <v>0</v>
      </c>
      <c r="AT55" s="21">
        <v>0</v>
      </c>
      <c r="AU55" s="21">
        <v>0</v>
      </c>
      <c r="AV55" s="21">
        <v>0</v>
      </c>
      <c r="AW55" s="21">
        <v>0</v>
      </c>
      <c r="AX55" s="21">
        <v>0</v>
      </c>
      <c r="AY55" s="21">
        <v>0</v>
      </c>
      <c r="AZ55" s="22">
        <v>0</v>
      </c>
      <c r="BA55" s="22" t="e">
        <f>MAX(#REF!-AZ55,0)</f>
        <v>#REF!</v>
      </c>
      <c r="BB55" s="23" t="e">
        <f>IF(SUMPRODUCT($J$85:BA$85,$J55:BA55)&lt;0.5, "Pending", IF(BA55&lt;0.5, "Complete", "In Progress"))</f>
        <v>#REF!</v>
      </c>
      <c r="BC55" s="22">
        <v>0</v>
      </c>
      <c r="BD55" s="22" t="e">
        <f t="shared" si="0"/>
        <v>#REF!</v>
      </c>
      <c r="BE55" s="23" t="e">
        <f>IF(SUMPRODUCT($J$85:BD$85,$J55:BD55)&lt;0.5, "Pending", IF(BD55&lt;0.5, "Complete", "In Progress"))</f>
        <v>#REF!</v>
      </c>
      <c r="BF55" s="22">
        <v>0</v>
      </c>
      <c r="BG55" s="22" t="e">
        <f t="shared" si="1"/>
        <v>#REF!</v>
      </c>
      <c r="BH55" s="23" t="e">
        <f>IF(SUMPRODUCT($J$85:BG$85,$J55:BG55)&lt;0.5, "Pending", IF(BG55&lt;0.5, "Complete", "In Progress"))</f>
        <v>#REF!</v>
      </c>
      <c r="BI55" s="22">
        <v>0</v>
      </c>
      <c r="BJ55" s="22" t="e">
        <f t="shared" si="2"/>
        <v>#REF!</v>
      </c>
      <c r="BK55" s="23" t="e">
        <f>IF(SUMPRODUCT($J$85:BJ$85,$J55:BJ55)&lt;0.5, "Pending", IF(BJ55&lt;0.5, "Complete", "In Progress"))</f>
        <v>#REF!</v>
      </c>
      <c r="BL55" s="22">
        <v>0</v>
      </c>
      <c r="BM55" s="22" t="e">
        <f t="shared" si="3"/>
        <v>#REF!</v>
      </c>
      <c r="BN55" s="23" t="e">
        <f>IF(SUMPRODUCT($J$85:BM$85,$J55:BM55)&lt;0.5, "Pending", IF(BM55&lt;0.5, "Complete", "In Progress"))</f>
        <v>#REF!</v>
      </c>
      <c r="BO55" s="22">
        <v>0</v>
      </c>
      <c r="BP55" s="22" t="e">
        <f t="shared" si="4"/>
        <v>#REF!</v>
      </c>
      <c r="BQ55" s="23" t="e">
        <f>IF(SUMPRODUCT($J$85:BP$85,$J55:BP55)&lt;0.5, "Pending", IF(BP55&lt;0.5, "Complete", "In Progress"))</f>
        <v>#REF!</v>
      </c>
      <c r="BR55" s="22">
        <v>0</v>
      </c>
      <c r="BS55" s="22" t="e">
        <f t="shared" si="5"/>
        <v>#REF!</v>
      </c>
      <c r="BT55" s="23" t="e">
        <f>IF(SUMPRODUCT($J$85:BS$85,$J55:BS55)&lt;0.5, "Pending", IF(BS55&lt;0.5, "Complete", "In Progress"))</f>
        <v>#REF!</v>
      </c>
      <c r="BU55" s="22">
        <v>0</v>
      </c>
      <c r="BV55" s="22" t="e">
        <f t="shared" si="6"/>
        <v>#REF!</v>
      </c>
      <c r="BW55" s="23" t="e">
        <f>IF(SUMPRODUCT($J$85:BV$85,$J55:BV55)&lt;0.5, "Pending", IF(BV55&lt;0.5, "Complete", "In Progress"))</f>
        <v>#REF!</v>
      </c>
      <c r="BX55" s="22">
        <v>0</v>
      </c>
      <c r="BY55" s="22" t="e">
        <f t="shared" si="7"/>
        <v>#REF!</v>
      </c>
      <c r="BZ55" s="23" t="e">
        <f>IF(SUMPRODUCT($J$85:BY$85,$J55:BY55)&lt;0.5, "Pending", IF(BY55&lt;0.5, "Complete", "In Progress"))</f>
        <v>#REF!</v>
      </c>
      <c r="CA55" s="22">
        <v>0</v>
      </c>
      <c r="CB55" s="22" t="e">
        <f t="shared" si="8"/>
        <v>#REF!</v>
      </c>
      <c r="CC55" s="23" t="e">
        <f>IF(SUMPRODUCT($J$85:CB$85,$J55:CB55)&lt;0.5, "Pending", IF(CB55&lt;0.5, "Complete", "In Progress"))</f>
        <v>#REF!</v>
      </c>
      <c r="CD55" s="24"/>
      <c r="CE55" s="25">
        <f>SUMPRODUCT($H$85:AY$85,$H55:AY55)</f>
        <v>43</v>
      </c>
    </row>
    <row r="56" spans="1:83" ht="13.8" customHeight="1" x14ac:dyDescent="0.25">
      <c r="A56" s="16" t="s">
        <v>104</v>
      </c>
      <c r="B56" s="16" t="s">
        <v>108</v>
      </c>
      <c r="C56" s="16" t="s">
        <v>506</v>
      </c>
      <c r="D56" s="17" t="s">
        <v>180</v>
      </c>
      <c r="E56" s="158" t="s">
        <v>351</v>
      </c>
      <c r="F56" s="158" t="s">
        <v>498</v>
      </c>
      <c r="G56" s="19"/>
      <c r="H56" s="20">
        <v>1</v>
      </c>
      <c r="I56" s="21">
        <v>6</v>
      </c>
      <c r="J56" s="21">
        <v>0</v>
      </c>
      <c r="K56" s="21">
        <v>0</v>
      </c>
      <c r="L56" s="21">
        <v>0</v>
      </c>
      <c r="M56" s="21">
        <v>0</v>
      </c>
      <c r="N56" s="21">
        <v>0</v>
      </c>
      <c r="O56" s="21">
        <v>0</v>
      </c>
      <c r="P56" s="21">
        <v>0</v>
      </c>
      <c r="Q56" s="21">
        <v>0</v>
      </c>
      <c r="R56" s="21">
        <v>0</v>
      </c>
      <c r="S56" s="21">
        <v>0</v>
      </c>
      <c r="T56" s="21">
        <v>0</v>
      </c>
      <c r="U56" s="21">
        <v>0</v>
      </c>
      <c r="V56" s="21">
        <v>0</v>
      </c>
      <c r="W56" s="21">
        <v>0</v>
      </c>
      <c r="X56" s="21">
        <v>0</v>
      </c>
      <c r="Y56" s="21">
        <v>0</v>
      </c>
      <c r="Z56" s="21">
        <v>0</v>
      </c>
      <c r="AA56" s="21">
        <v>0</v>
      </c>
      <c r="AB56" s="21">
        <v>0</v>
      </c>
      <c r="AC56" s="21">
        <v>0</v>
      </c>
      <c r="AD56" s="21">
        <v>0</v>
      </c>
      <c r="AE56" s="21">
        <v>0</v>
      </c>
      <c r="AF56" s="21">
        <v>0</v>
      </c>
      <c r="AG56" s="21">
        <v>0</v>
      </c>
      <c r="AH56" s="21">
        <v>0</v>
      </c>
      <c r="AI56" s="21">
        <v>0</v>
      </c>
      <c r="AJ56" s="21">
        <v>0</v>
      </c>
      <c r="AK56" s="21">
        <v>0</v>
      </c>
      <c r="AL56" s="21">
        <v>0</v>
      </c>
      <c r="AM56" s="21">
        <v>0</v>
      </c>
      <c r="AN56" s="21">
        <v>0</v>
      </c>
      <c r="AO56" s="21">
        <v>0</v>
      </c>
      <c r="AP56" s="21">
        <v>0</v>
      </c>
      <c r="AQ56" s="21">
        <v>0</v>
      </c>
      <c r="AR56" s="21">
        <v>0</v>
      </c>
      <c r="AS56" s="21">
        <v>0</v>
      </c>
      <c r="AT56" s="21">
        <v>0</v>
      </c>
      <c r="AU56" s="21">
        <v>0</v>
      </c>
      <c r="AV56" s="21">
        <v>0</v>
      </c>
      <c r="AW56" s="21">
        <v>0</v>
      </c>
      <c r="AX56" s="21">
        <v>0</v>
      </c>
      <c r="AY56" s="21">
        <v>0</v>
      </c>
      <c r="AZ56" s="22">
        <v>0</v>
      </c>
      <c r="BA56" s="22" t="e">
        <f>MAX(#REF!-AZ56,0)</f>
        <v>#REF!</v>
      </c>
      <c r="BB56" s="23" t="e">
        <f>IF(SUMPRODUCT($J$85:BA$85,$J56:BA56)&lt;0.5, "Pending", IF(BA56&lt;0.5, "Complete", "In Progress"))</f>
        <v>#REF!</v>
      </c>
      <c r="BC56" s="22">
        <v>0</v>
      </c>
      <c r="BD56" s="22" t="e">
        <f t="shared" si="0"/>
        <v>#REF!</v>
      </c>
      <c r="BE56" s="23" t="e">
        <f>IF(SUMPRODUCT($J$85:BD$85,$J56:BD56)&lt;0.5, "Pending", IF(BD56&lt;0.5, "Complete", "In Progress"))</f>
        <v>#REF!</v>
      </c>
      <c r="BF56" s="22">
        <v>0</v>
      </c>
      <c r="BG56" s="22" t="e">
        <f t="shared" si="1"/>
        <v>#REF!</v>
      </c>
      <c r="BH56" s="23" t="e">
        <f>IF(SUMPRODUCT($J$85:BG$85,$J56:BG56)&lt;0.5, "Pending", IF(BG56&lt;0.5, "Complete", "In Progress"))</f>
        <v>#REF!</v>
      </c>
      <c r="BI56" s="22">
        <v>0</v>
      </c>
      <c r="BJ56" s="22" t="e">
        <f t="shared" si="2"/>
        <v>#REF!</v>
      </c>
      <c r="BK56" s="23" t="e">
        <f>IF(SUMPRODUCT($J$85:BJ$85,$J56:BJ56)&lt;0.5, "Pending", IF(BJ56&lt;0.5, "Complete", "In Progress"))</f>
        <v>#REF!</v>
      </c>
      <c r="BL56" s="22">
        <v>0</v>
      </c>
      <c r="BM56" s="22" t="e">
        <f t="shared" si="3"/>
        <v>#REF!</v>
      </c>
      <c r="BN56" s="23" t="e">
        <f>IF(SUMPRODUCT($J$85:BM$85,$J56:BM56)&lt;0.5, "Pending", IF(BM56&lt;0.5, "Complete", "In Progress"))</f>
        <v>#REF!</v>
      </c>
      <c r="BO56" s="22">
        <v>0</v>
      </c>
      <c r="BP56" s="22" t="e">
        <f t="shared" si="4"/>
        <v>#REF!</v>
      </c>
      <c r="BQ56" s="23" t="e">
        <f>IF(SUMPRODUCT($J$85:BP$85,$J56:BP56)&lt;0.5, "Pending", IF(BP56&lt;0.5, "Complete", "In Progress"))</f>
        <v>#REF!</v>
      </c>
      <c r="BR56" s="22">
        <v>0</v>
      </c>
      <c r="BS56" s="22" t="e">
        <f t="shared" si="5"/>
        <v>#REF!</v>
      </c>
      <c r="BT56" s="23" t="e">
        <f>IF(SUMPRODUCT($J$85:BS$85,$J56:BS56)&lt;0.5, "Pending", IF(BS56&lt;0.5, "Complete", "In Progress"))</f>
        <v>#REF!</v>
      </c>
      <c r="BU56" s="22">
        <v>0</v>
      </c>
      <c r="BV56" s="22" t="e">
        <f t="shared" si="6"/>
        <v>#REF!</v>
      </c>
      <c r="BW56" s="23" t="e">
        <f>IF(SUMPRODUCT($J$85:BV$85,$J56:BV56)&lt;0.5, "Pending", IF(BV56&lt;0.5, "Complete", "In Progress"))</f>
        <v>#REF!</v>
      </c>
      <c r="BX56" s="22">
        <v>0</v>
      </c>
      <c r="BY56" s="22" t="e">
        <f t="shared" si="7"/>
        <v>#REF!</v>
      </c>
      <c r="BZ56" s="23" t="e">
        <f>IF(SUMPRODUCT($J$85:BY$85,$J56:BY56)&lt;0.5, "Pending", IF(BY56&lt;0.5, "Complete", "In Progress"))</f>
        <v>#REF!</v>
      </c>
      <c r="CA56" s="22">
        <v>0</v>
      </c>
      <c r="CB56" s="22" t="e">
        <f t="shared" si="8"/>
        <v>#REF!</v>
      </c>
      <c r="CC56" s="23" t="e">
        <f>IF(SUMPRODUCT($J$85:CB$85,$J56:CB56)&lt;0.5, "Pending", IF(CB56&lt;0.5, "Complete", "In Progress"))</f>
        <v>#REF!</v>
      </c>
      <c r="CD56" s="24"/>
      <c r="CE56" s="25">
        <f>SUMPRODUCT($H$85:AY$85,$H56:AY56)</f>
        <v>43</v>
      </c>
    </row>
    <row r="57" spans="1:83" ht="13.8" customHeight="1" x14ac:dyDescent="0.25">
      <c r="A57" s="16" t="s">
        <v>103</v>
      </c>
      <c r="B57" s="16" t="s">
        <v>108</v>
      </c>
      <c r="C57" s="16" t="s">
        <v>506</v>
      </c>
      <c r="D57" s="17" t="s">
        <v>181</v>
      </c>
      <c r="E57" s="158" t="s">
        <v>352</v>
      </c>
      <c r="F57" s="158" t="s">
        <v>496</v>
      </c>
      <c r="G57" s="19"/>
      <c r="H57" s="20">
        <v>1</v>
      </c>
      <c r="I57" s="21">
        <v>6</v>
      </c>
      <c r="J57" s="21">
        <v>0</v>
      </c>
      <c r="K57" s="21">
        <v>0</v>
      </c>
      <c r="L57" s="21">
        <v>0</v>
      </c>
      <c r="M57" s="21">
        <v>0</v>
      </c>
      <c r="N57" s="21">
        <v>0</v>
      </c>
      <c r="O57" s="21">
        <v>0</v>
      </c>
      <c r="P57" s="21">
        <v>0</v>
      </c>
      <c r="Q57" s="21">
        <v>0</v>
      </c>
      <c r="R57" s="21">
        <v>0</v>
      </c>
      <c r="S57" s="21">
        <v>0</v>
      </c>
      <c r="T57" s="21">
        <v>0</v>
      </c>
      <c r="U57" s="21">
        <v>0</v>
      </c>
      <c r="V57" s="21">
        <v>0</v>
      </c>
      <c r="W57" s="21">
        <v>0</v>
      </c>
      <c r="X57" s="21">
        <v>0</v>
      </c>
      <c r="Y57" s="21">
        <v>0</v>
      </c>
      <c r="Z57" s="21">
        <v>0</v>
      </c>
      <c r="AA57" s="21">
        <v>0</v>
      </c>
      <c r="AB57" s="21">
        <v>0</v>
      </c>
      <c r="AC57" s="21">
        <v>0</v>
      </c>
      <c r="AD57" s="21">
        <v>0</v>
      </c>
      <c r="AE57" s="21">
        <v>0</v>
      </c>
      <c r="AF57" s="21">
        <v>0</v>
      </c>
      <c r="AG57" s="21">
        <v>0</v>
      </c>
      <c r="AH57" s="21">
        <v>0</v>
      </c>
      <c r="AI57" s="21">
        <v>0</v>
      </c>
      <c r="AJ57" s="21">
        <v>0</v>
      </c>
      <c r="AK57" s="21">
        <v>0</v>
      </c>
      <c r="AL57" s="21">
        <v>0</v>
      </c>
      <c r="AM57" s="21">
        <v>0</v>
      </c>
      <c r="AN57" s="21">
        <v>0</v>
      </c>
      <c r="AO57" s="21">
        <v>0</v>
      </c>
      <c r="AP57" s="21">
        <v>0</v>
      </c>
      <c r="AQ57" s="21">
        <v>0</v>
      </c>
      <c r="AR57" s="21">
        <v>0</v>
      </c>
      <c r="AS57" s="21">
        <v>0</v>
      </c>
      <c r="AT57" s="21">
        <v>0</v>
      </c>
      <c r="AU57" s="21">
        <v>0</v>
      </c>
      <c r="AV57" s="21">
        <v>0</v>
      </c>
      <c r="AW57" s="21">
        <v>0</v>
      </c>
      <c r="AX57" s="21">
        <v>0</v>
      </c>
      <c r="AY57" s="21">
        <v>0</v>
      </c>
      <c r="AZ57" s="22">
        <v>0</v>
      </c>
      <c r="BA57" s="22" t="e">
        <f>MAX(#REF!-AZ57,0)</f>
        <v>#REF!</v>
      </c>
      <c r="BB57" s="23" t="e">
        <f>IF(SUMPRODUCT($J$85:BA$85,$J57:BA57)&lt;0.5, "Pending", IF(BA57&lt;0.5, "Complete", "In Progress"))</f>
        <v>#REF!</v>
      </c>
      <c r="BC57" s="22">
        <v>0</v>
      </c>
      <c r="BD57" s="22" t="e">
        <f t="shared" si="0"/>
        <v>#REF!</v>
      </c>
      <c r="BE57" s="23" t="e">
        <f>IF(SUMPRODUCT($J$85:BD$85,$J57:BD57)&lt;0.5, "Pending", IF(BD57&lt;0.5, "Complete", "In Progress"))</f>
        <v>#REF!</v>
      </c>
      <c r="BF57" s="22">
        <v>0</v>
      </c>
      <c r="BG57" s="22" t="e">
        <f t="shared" si="1"/>
        <v>#REF!</v>
      </c>
      <c r="BH57" s="23" t="e">
        <f>IF(SUMPRODUCT($J$85:BG$85,$J57:BG57)&lt;0.5, "Pending", IF(BG57&lt;0.5, "Complete", "In Progress"))</f>
        <v>#REF!</v>
      </c>
      <c r="BI57" s="22">
        <v>0</v>
      </c>
      <c r="BJ57" s="22" t="e">
        <f t="shared" si="2"/>
        <v>#REF!</v>
      </c>
      <c r="BK57" s="23" t="e">
        <f>IF(SUMPRODUCT($J$85:BJ$85,$J57:BJ57)&lt;0.5, "Pending", IF(BJ57&lt;0.5, "Complete", "In Progress"))</f>
        <v>#REF!</v>
      </c>
      <c r="BL57" s="22">
        <v>0</v>
      </c>
      <c r="BM57" s="22" t="e">
        <f t="shared" si="3"/>
        <v>#REF!</v>
      </c>
      <c r="BN57" s="23" t="e">
        <f>IF(SUMPRODUCT($J$85:BM$85,$J57:BM57)&lt;0.5, "Pending", IF(BM57&lt;0.5, "Complete", "In Progress"))</f>
        <v>#REF!</v>
      </c>
      <c r="BO57" s="22">
        <v>0</v>
      </c>
      <c r="BP57" s="22" t="e">
        <f t="shared" si="4"/>
        <v>#REF!</v>
      </c>
      <c r="BQ57" s="23" t="e">
        <f>IF(SUMPRODUCT($J$85:BP$85,$J57:BP57)&lt;0.5, "Pending", IF(BP57&lt;0.5, "Complete", "In Progress"))</f>
        <v>#REF!</v>
      </c>
      <c r="BR57" s="22">
        <v>0</v>
      </c>
      <c r="BS57" s="22" t="e">
        <f t="shared" si="5"/>
        <v>#REF!</v>
      </c>
      <c r="BT57" s="23" t="e">
        <f>IF(SUMPRODUCT($J$85:BS$85,$J57:BS57)&lt;0.5, "Pending", IF(BS57&lt;0.5, "Complete", "In Progress"))</f>
        <v>#REF!</v>
      </c>
      <c r="BU57" s="22">
        <v>0</v>
      </c>
      <c r="BV57" s="22" t="e">
        <f t="shared" si="6"/>
        <v>#REF!</v>
      </c>
      <c r="BW57" s="23" t="e">
        <f>IF(SUMPRODUCT($J$85:BV$85,$J57:BV57)&lt;0.5, "Pending", IF(BV57&lt;0.5, "Complete", "In Progress"))</f>
        <v>#REF!</v>
      </c>
      <c r="BX57" s="22">
        <v>0</v>
      </c>
      <c r="BY57" s="22" t="e">
        <f t="shared" si="7"/>
        <v>#REF!</v>
      </c>
      <c r="BZ57" s="23" t="e">
        <f>IF(SUMPRODUCT($J$85:BY$85,$J57:BY57)&lt;0.5, "Pending", IF(BY57&lt;0.5, "Complete", "In Progress"))</f>
        <v>#REF!</v>
      </c>
      <c r="CA57" s="22">
        <v>0</v>
      </c>
      <c r="CB57" s="22" t="e">
        <f t="shared" si="8"/>
        <v>#REF!</v>
      </c>
      <c r="CC57" s="23" t="e">
        <f>IF(SUMPRODUCT($J$85:CB$85,$J57:CB57)&lt;0.5, "Pending", IF(CB57&lt;0.5, "Complete", "In Progress"))</f>
        <v>#REF!</v>
      </c>
      <c r="CD57" s="24"/>
      <c r="CE57" s="25">
        <f>SUMPRODUCT($H$85:AY$85,$H57:AY57)</f>
        <v>43</v>
      </c>
    </row>
    <row r="58" spans="1:83" ht="13.8" customHeight="1" x14ac:dyDescent="0.25">
      <c r="A58" s="16" t="s">
        <v>103</v>
      </c>
      <c r="B58" s="16" t="s">
        <v>108</v>
      </c>
      <c r="C58" s="16" t="s">
        <v>506</v>
      </c>
      <c r="D58" s="17" t="s">
        <v>182</v>
      </c>
      <c r="E58" s="158" t="s">
        <v>353</v>
      </c>
      <c r="F58" s="158" t="s">
        <v>495</v>
      </c>
      <c r="G58" s="169"/>
      <c r="H58" s="20">
        <v>1</v>
      </c>
      <c r="I58" s="21">
        <v>6</v>
      </c>
      <c r="J58" s="21">
        <v>0</v>
      </c>
      <c r="K58" s="21">
        <v>0</v>
      </c>
      <c r="L58" s="21">
        <v>0</v>
      </c>
      <c r="M58" s="21">
        <v>0</v>
      </c>
      <c r="N58" s="21">
        <v>0</v>
      </c>
      <c r="O58" s="21">
        <v>0</v>
      </c>
      <c r="P58" s="21">
        <v>0</v>
      </c>
      <c r="Q58" s="21">
        <v>0</v>
      </c>
      <c r="R58" s="21">
        <v>0</v>
      </c>
      <c r="S58" s="21">
        <v>0</v>
      </c>
      <c r="T58" s="21">
        <v>0</v>
      </c>
      <c r="U58" s="21">
        <v>0</v>
      </c>
      <c r="V58" s="21">
        <v>0</v>
      </c>
      <c r="W58" s="21">
        <v>0</v>
      </c>
      <c r="X58" s="21">
        <v>0</v>
      </c>
      <c r="Y58" s="21">
        <v>0</v>
      </c>
      <c r="Z58" s="21">
        <v>0</v>
      </c>
      <c r="AA58" s="21">
        <v>0</v>
      </c>
      <c r="AB58" s="21">
        <v>0</v>
      </c>
      <c r="AC58" s="21">
        <v>0</v>
      </c>
      <c r="AD58" s="21">
        <v>0</v>
      </c>
      <c r="AE58" s="21">
        <v>0</v>
      </c>
      <c r="AF58" s="21">
        <v>0</v>
      </c>
      <c r="AG58" s="21">
        <v>0</v>
      </c>
      <c r="AH58" s="21">
        <v>0</v>
      </c>
      <c r="AI58" s="21">
        <v>0</v>
      </c>
      <c r="AJ58" s="21">
        <v>0</v>
      </c>
      <c r="AK58" s="21">
        <v>0</v>
      </c>
      <c r="AL58" s="21">
        <v>0</v>
      </c>
      <c r="AM58" s="21">
        <v>0</v>
      </c>
      <c r="AN58" s="21">
        <v>0</v>
      </c>
      <c r="AO58" s="21">
        <v>0</v>
      </c>
      <c r="AP58" s="21">
        <v>0</v>
      </c>
      <c r="AQ58" s="21">
        <v>0</v>
      </c>
      <c r="AR58" s="21">
        <v>0</v>
      </c>
      <c r="AS58" s="21">
        <v>0</v>
      </c>
      <c r="AT58" s="21">
        <v>0</v>
      </c>
      <c r="AU58" s="21">
        <v>0</v>
      </c>
      <c r="AV58" s="21">
        <v>0</v>
      </c>
      <c r="AW58" s="21">
        <v>0</v>
      </c>
      <c r="AX58" s="21">
        <v>0</v>
      </c>
      <c r="AY58" s="21">
        <v>0</v>
      </c>
      <c r="AZ58" s="22">
        <v>0</v>
      </c>
      <c r="BA58" s="22" t="e">
        <f>MAX(#REF!-AZ58,0)</f>
        <v>#REF!</v>
      </c>
      <c r="BB58" s="23" t="e">
        <f>IF(SUMPRODUCT($J$85:BA$85,$J58:BA58)&lt;0.5, "Pending", IF(BA58&lt;0.5, "Complete", "In Progress"))</f>
        <v>#REF!</v>
      </c>
      <c r="BC58" s="22">
        <v>0</v>
      </c>
      <c r="BD58" s="22" t="e">
        <f t="shared" si="0"/>
        <v>#REF!</v>
      </c>
      <c r="BE58" s="23" t="e">
        <f>IF(SUMPRODUCT($J$85:BD$85,$J58:BD58)&lt;0.5, "Pending", IF(BD58&lt;0.5, "Complete", "In Progress"))</f>
        <v>#REF!</v>
      </c>
      <c r="BF58" s="22">
        <v>0</v>
      </c>
      <c r="BG58" s="22" t="e">
        <f t="shared" si="1"/>
        <v>#REF!</v>
      </c>
      <c r="BH58" s="23" t="e">
        <f>IF(SUMPRODUCT($J$85:BG$85,$J58:BG58)&lt;0.5, "Pending", IF(BG58&lt;0.5, "Complete", "In Progress"))</f>
        <v>#REF!</v>
      </c>
      <c r="BI58" s="22">
        <v>0</v>
      </c>
      <c r="BJ58" s="22" t="e">
        <f t="shared" si="2"/>
        <v>#REF!</v>
      </c>
      <c r="BK58" s="23" t="e">
        <f>IF(SUMPRODUCT($J$85:BJ$85,$J58:BJ58)&lt;0.5, "Pending", IF(BJ58&lt;0.5, "Complete", "In Progress"))</f>
        <v>#REF!</v>
      </c>
      <c r="BL58" s="22">
        <v>0</v>
      </c>
      <c r="BM58" s="22" t="e">
        <f t="shared" si="3"/>
        <v>#REF!</v>
      </c>
      <c r="BN58" s="23" t="e">
        <f>IF(SUMPRODUCT($J$85:BM$85,$J58:BM58)&lt;0.5, "Pending", IF(BM58&lt;0.5, "Complete", "In Progress"))</f>
        <v>#REF!</v>
      </c>
      <c r="BO58" s="22">
        <v>0</v>
      </c>
      <c r="BP58" s="22" t="e">
        <f t="shared" si="4"/>
        <v>#REF!</v>
      </c>
      <c r="BQ58" s="23" t="e">
        <f>IF(SUMPRODUCT($J$85:BP$85,$J58:BP58)&lt;0.5, "Pending", IF(BP58&lt;0.5, "Complete", "In Progress"))</f>
        <v>#REF!</v>
      </c>
      <c r="BR58" s="22">
        <v>0</v>
      </c>
      <c r="BS58" s="22" t="e">
        <f t="shared" si="5"/>
        <v>#REF!</v>
      </c>
      <c r="BT58" s="23" t="e">
        <f>IF(SUMPRODUCT($J$85:BS$85,$J58:BS58)&lt;0.5, "Pending", IF(BS58&lt;0.5, "Complete", "In Progress"))</f>
        <v>#REF!</v>
      </c>
      <c r="BU58" s="22">
        <v>0</v>
      </c>
      <c r="BV58" s="22" t="e">
        <f t="shared" si="6"/>
        <v>#REF!</v>
      </c>
      <c r="BW58" s="23" t="e">
        <f>IF(SUMPRODUCT($J$85:BV$85,$J58:BV58)&lt;0.5, "Pending", IF(BV58&lt;0.5, "Complete", "In Progress"))</f>
        <v>#REF!</v>
      </c>
      <c r="BX58" s="22">
        <v>0</v>
      </c>
      <c r="BY58" s="22" t="e">
        <f t="shared" si="7"/>
        <v>#REF!</v>
      </c>
      <c r="BZ58" s="23" t="e">
        <f>IF(SUMPRODUCT($J$85:BY$85,$J58:BY58)&lt;0.5, "Pending", IF(BY58&lt;0.5, "Complete", "In Progress"))</f>
        <v>#REF!</v>
      </c>
      <c r="CA58" s="22">
        <v>0</v>
      </c>
      <c r="CB58" s="22" t="e">
        <f t="shared" si="8"/>
        <v>#REF!</v>
      </c>
      <c r="CC58" s="23" t="e">
        <f>IF(SUMPRODUCT($J$85:CB$85,$J58:CB58)&lt;0.5, "Pending", IF(CB58&lt;0.5, "Complete", "In Progress"))</f>
        <v>#REF!</v>
      </c>
      <c r="CD58" s="24"/>
      <c r="CE58" s="25">
        <f>SUMPRODUCT($H$85:AY$85,$H58:AY58)</f>
        <v>43</v>
      </c>
    </row>
    <row r="59" spans="1:83" ht="13.8" customHeight="1" x14ac:dyDescent="0.25">
      <c r="A59" s="16" t="s">
        <v>103</v>
      </c>
      <c r="B59" s="16" t="s">
        <v>108</v>
      </c>
      <c r="C59" s="16" t="s">
        <v>506</v>
      </c>
      <c r="D59" s="17" t="s">
        <v>183</v>
      </c>
      <c r="E59" s="158" t="s">
        <v>354</v>
      </c>
      <c r="F59" s="158" t="s">
        <v>493</v>
      </c>
      <c r="G59" s="168"/>
      <c r="H59" s="20">
        <v>1</v>
      </c>
      <c r="I59" s="21">
        <v>56</v>
      </c>
      <c r="J59" s="21">
        <v>0</v>
      </c>
      <c r="K59" s="21">
        <v>0</v>
      </c>
      <c r="L59" s="21">
        <v>0</v>
      </c>
      <c r="M59" s="21">
        <v>0</v>
      </c>
      <c r="N59" s="21">
        <v>0</v>
      </c>
      <c r="O59" s="21">
        <v>0</v>
      </c>
      <c r="P59" s="21">
        <v>0</v>
      </c>
      <c r="Q59" s="21">
        <v>0</v>
      </c>
      <c r="R59" s="21">
        <v>0</v>
      </c>
      <c r="S59" s="21">
        <v>0</v>
      </c>
      <c r="T59" s="21">
        <v>0</v>
      </c>
      <c r="U59" s="21">
        <v>0</v>
      </c>
      <c r="V59" s="21">
        <v>0</v>
      </c>
      <c r="W59" s="21">
        <v>0</v>
      </c>
      <c r="X59" s="21">
        <v>0</v>
      </c>
      <c r="Y59" s="21">
        <v>0</v>
      </c>
      <c r="Z59" s="21">
        <v>0</v>
      </c>
      <c r="AA59" s="21">
        <v>0</v>
      </c>
      <c r="AB59" s="21">
        <v>0</v>
      </c>
      <c r="AC59" s="21">
        <v>0</v>
      </c>
      <c r="AD59" s="21">
        <v>0</v>
      </c>
      <c r="AE59" s="21">
        <v>0</v>
      </c>
      <c r="AF59" s="21">
        <v>0</v>
      </c>
      <c r="AG59" s="21">
        <v>0</v>
      </c>
      <c r="AH59" s="21">
        <v>0</v>
      </c>
      <c r="AI59" s="21">
        <v>0</v>
      </c>
      <c r="AJ59" s="21">
        <v>0</v>
      </c>
      <c r="AK59" s="21">
        <v>0</v>
      </c>
      <c r="AL59" s="21">
        <v>0</v>
      </c>
      <c r="AM59" s="21">
        <v>0</v>
      </c>
      <c r="AN59" s="21">
        <v>0</v>
      </c>
      <c r="AO59" s="21">
        <v>0</v>
      </c>
      <c r="AP59" s="21">
        <v>0</v>
      </c>
      <c r="AQ59" s="21">
        <v>0</v>
      </c>
      <c r="AR59" s="21">
        <v>0</v>
      </c>
      <c r="AS59" s="21">
        <v>0</v>
      </c>
      <c r="AT59" s="21">
        <v>0</v>
      </c>
      <c r="AU59" s="21">
        <v>0</v>
      </c>
      <c r="AV59" s="21">
        <v>0</v>
      </c>
      <c r="AW59" s="21">
        <v>0</v>
      </c>
      <c r="AX59" s="21">
        <v>0</v>
      </c>
      <c r="AY59" s="21">
        <v>0</v>
      </c>
      <c r="AZ59" s="22">
        <v>0</v>
      </c>
      <c r="BA59" s="22" t="e">
        <f>MAX(#REF!-AZ59,0)</f>
        <v>#REF!</v>
      </c>
      <c r="BB59" s="23" t="e">
        <f>IF(SUMPRODUCT($J$85:BA$85,$J59:BA59)&lt;0.5, "Pending", IF(BA59&lt;0.5, "Complete", "In Progress"))</f>
        <v>#REF!</v>
      </c>
      <c r="BC59" s="22">
        <v>0</v>
      </c>
      <c r="BD59" s="22" t="e">
        <f t="shared" si="0"/>
        <v>#REF!</v>
      </c>
      <c r="BE59" s="23" t="e">
        <f>IF(SUMPRODUCT($J$85:BD$85,$J59:BD59)&lt;0.5, "Pending", IF(BD59&lt;0.5, "Complete", "In Progress"))</f>
        <v>#REF!</v>
      </c>
      <c r="BF59" s="22">
        <v>0</v>
      </c>
      <c r="BG59" s="22" t="e">
        <f t="shared" si="1"/>
        <v>#REF!</v>
      </c>
      <c r="BH59" s="23" t="e">
        <f>IF(SUMPRODUCT($J$85:BG$85,$J59:BG59)&lt;0.5, "Pending", IF(BG59&lt;0.5, "Complete", "In Progress"))</f>
        <v>#REF!</v>
      </c>
      <c r="BI59" s="22">
        <v>0</v>
      </c>
      <c r="BJ59" s="22" t="e">
        <f t="shared" si="2"/>
        <v>#REF!</v>
      </c>
      <c r="BK59" s="23" t="e">
        <f>IF(SUMPRODUCT($J$85:BJ$85,$J59:BJ59)&lt;0.5, "Pending", IF(BJ59&lt;0.5, "Complete", "In Progress"))</f>
        <v>#REF!</v>
      </c>
      <c r="BL59" s="22">
        <v>0</v>
      </c>
      <c r="BM59" s="22" t="e">
        <f t="shared" si="3"/>
        <v>#REF!</v>
      </c>
      <c r="BN59" s="23" t="e">
        <f>IF(SUMPRODUCT($J$85:BM$85,$J59:BM59)&lt;0.5, "Pending", IF(BM59&lt;0.5, "Complete", "In Progress"))</f>
        <v>#REF!</v>
      </c>
      <c r="BO59" s="22">
        <v>0</v>
      </c>
      <c r="BP59" s="22" t="e">
        <f t="shared" si="4"/>
        <v>#REF!</v>
      </c>
      <c r="BQ59" s="23" t="e">
        <f>IF(SUMPRODUCT($J$85:BP$85,$J59:BP59)&lt;0.5, "Pending", IF(BP59&lt;0.5, "Complete", "In Progress"))</f>
        <v>#REF!</v>
      </c>
      <c r="BR59" s="22">
        <v>0</v>
      </c>
      <c r="BS59" s="22" t="e">
        <f t="shared" si="5"/>
        <v>#REF!</v>
      </c>
      <c r="BT59" s="23" t="e">
        <f>IF(SUMPRODUCT($J$85:BS$85,$J59:BS59)&lt;0.5, "Pending", IF(BS59&lt;0.5, "Complete", "In Progress"))</f>
        <v>#REF!</v>
      </c>
      <c r="BU59" s="22">
        <v>0</v>
      </c>
      <c r="BV59" s="22" t="e">
        <f t="shared" si="6"/>
        <v>#REF!</v>
      </c>
      <c r="BW59" s="23" t="e">
        <f>IF(SUMPRODUCT($J$85:BV$85,$J59:BV59)&lt;0.5, "Pending", IF(BV59&lt;0.5, "Complete", "In Progress"))</f>
        <v>#REF!</v>
      </c>
      <c r="BX59" s="22">
        <v>0</v>
      </c>
      <c r="BY59" s="22" t="e">
        <f t="shared" si="7"/>
        <v>#REF!</v>
      </c>
      <c r="BZ59" s="23" t="e">
        <f>IF(SUMPRODUCT($J$85:BY$85,$J59:BY59)&lt;0.5, "Pending", IF(BY59&lt;0.5, "Complete", "In Progress"))</f>
        <v>#REF!</v>
      </c>
      <c r="CA59" s="22">
        <v>0</v>
      </c>
      <c r="CB59" s="22" t="e">
        <f t="shared" si="8"/>
        <v>#REF!</v>
      </c>
      <c r="CC59" s="23" t="e">
        <f>IF(SUMPRODUCT($J$85:CB$85,$J59:CB59)&lt;0.5, "Pending", IF(CB59&lt;0.5, "Complete", "In Progress"))</f>
        <v>#REF!</v>
      </c>
      <c r="CD59" s="24"/>
      <c r="CE59" s="25">
        <f>SUMPRODUCT($H$85:AY$85,$H59:AY59)</f>
        <v>393</v>
      </c>
    </row>
    <row r="60" spans="1:83" ht="13.8" customHeight="1" x14ac:dyDescent="0.25">
      <c r="A60" s="16" t="s">
        <v>103</v>
      </c>
      <c r="B60" s="16" t="s">
        <v>118</v>
      </c>
      <c r="C60" s="16" t="s">
        <v>506</v>
      </c>
      <c r="D60" s="17" t="s">
        <v>184</v>
      </c>
      <c r="E60" s="158" t="s">
        <v>355</v>
      </c>
      <c r="F60" s="158" t="s">
        <v>494</v>
      </c>
      <c r="G60" s="19"/>
      <c r="H60" s="20">
        <v>1</v>
      </c>
      <c r="I60" s="21">
        <v>6</v>
      </c>
      <c r="J60" s="21">
        <v>0</v>
      </c>
      <c r="K60" s="21">
        <v>0</v>
      </c>
      <c r="L60" s="21">
        <v>0</v>
      </c>
      <c r="M60" s="21">
        <v>0</v>
      </c>
      <c r="N60" s="21">
        <v>0</v>
      </c>
      <c r="O60" s="21">
        <v>0</v>
      </c>
      <c r="P60" s="21">
        <v>0</v>
      </c>
      <c r="Q60" s="21">
        <v>0</v>
      </c>
      <c r="R60" s="21">
        <v>0</v>
      </c>
      <c r="S60" s="21">
        <v>0</v>
      </c>
      <c r="T60" s="21">
        <v>0</v>
      </c>
      <c r="U60" s="21">
        <v>0</v>
      </c>
      <c r="V60" s="21">
        <v>0</v>
      </c>
      <c r="W60" s="21">
        <v>0</v>
      </c>
      <c r="X60" s="21">
        <v>0</v>
      </c>
      <c r="Y60" s="21">
        <v>0</v>
      </c>
      <c r="Z60" s="21">
        <v>0</v>
      </c>
      <c r="AA60" s="21">
        <v>0</v>
      </c>
      <c r="AB60" s="21">
        <v>0</v>
      </c>
      <c r="AC60" s="21">
        <v>0</v>
      </c>
      <c r="AD60" s="21">
        <v>0</v>
      </c>
      <c r="AE60" s="21">
        <v>0</v>
      </c>
      <c r="AF60" s="21">
        <v>0</v>
      </c>
      <c r="AG60" s="21">
        <v>0</v>
      </c>
      <c r="AH60" s="21">
        <v>0</v>
      </c>
      <c r="AI60" s="21">
        <v>0</v>
      </c>
      <c r="AJ60" s="21">
        <v>0</v>
      </c>
      <c r="AK60" s="21">
        <v>0</v>
      </c>
      <c r="AL60" s="21">
        <v>0</v>
      </c>
      <c r="AM60" s="21">
        <v>0</v>
      </c>
      <c r="AN60" s="21">
        <v>0</v>
      </c>
      <c r="AO60" s="21">
        <v>0</v>
      </c>
      <c r="AP60" s="21">
        <v>0</v>
      </c>
      <c r="AQ60" s="21">
        <v>0</v>
      </c>
      <c r="AR60" s="21">
        <v>0</v>
      </c>
      <c r="AS60" s="21">
        <v>0</v>
      </c>
      <c r="AT60" s="21">
        <v>0</v>
      </c>
      <c r="AU60" s="21">
        <v>0</v>
      </c>
      <c r="AV60" s="21">
        <v>0</v>
      </c>
      <c r="AW60" s="21">
        <v>0</v>
      </c>
      <c r="AX60" s="21">
        <v>0</v>
      </c>
      <c r="AY60" s="21">
        <v>0</v>
      </c>
      <c r="AZ60" s="22">
        <v>0</v>
      </c>
      <c r="BA60" s="22" t="e">
        <f>MAX(#REF!-AZ60,0)</f>
        <v>#REF!</v>
      </c>
      <c r="BB60" s="23" t="e">
        <f>IF(SUMPRODUCT($J$85:BA$85,$J60:BA60)&lt;0.5, "Pending", IF(BA60&lt;0.5, "Complete", "In Progress"))</f>
        <v>#REF!</v>
      </c>
      <c r="BC60" s="22">
        <v>0</v>
      </c>
      <c r="BD60" s="22" t="e">
        <f t="shared" si="0"/>
        <v>#REF!</v>
      </c>
      <c r="BE60" s="23" t="e">
        <f>IF(SUMPRODUCT($J$85:BD$85,$J60:BD60)&lt;0.5, "Pending", IF(BD60&lt;0.5, "Complete", "In Progress"))</f>
        <v>#REF!</v>
      </c>
      <c r="BF60" s="22">
        <v>0</v>
      </c>
      <c r="BG60" s="22" t="e">
        <f t="shared" si="1"/>
        <v>#REF!</v>
      </c>
      <c r="BH60" s="23" t="e">
        <f>IF(SUMPRODUCT($J$85:BG$85,$J60:BG60)&lt;0.5, "Pending", IF(BG60&lt;0.5, "Complete", "In Progress"))</f>
        <v>#REF!</v>
      </c>
      <c r="BI60" s="22">
        <v>0</v>
      </c>
      <c r="BJ60" s="22" t="e">
        <f t="shared" si="2"/>
        <v>#REF!</v>
      </c>
      <c r="BK60" s="23" t="e">
        <f>IF(SUMPRODUCT($J$85:BJ$85,$J60:BJ60)&lt;0.5, "Pending", IF(BJ60&lt;0.5, "Complete", "In Progress"))</f>
        <v>#REF!</v>
      </c>
      <c r="BL60" s="22">
        <v>0</v>
      </c>
      <c r="BM60" s="22" t="e">
        <f t="shared" si="3"/>
        <v>#REF!</v>
      </c>
      <c r="BN60" s="23" t="e">
        <f>IF(SUMPRODUCT($J$85:BM$85,$J60:BM60)&lt;0.5, "Pending", IF(BM60&lt;0.5, "Complete", "In Progress"))</f>
        <v>#REF!</v>
      </c>
      <c r="BO60" s="22">
        <v>0</v>
      </c>
      <c r="BP60" s="22" t="e">
        <f t="shared" si="4"/>
        <v>#REF!</v>
      </c>
      <c r="BQ60" s="23" t="e">
        <f>IF(SUMPRODUCT($J$85:BP$85,$J60:BP60)&lt;0.5, "Pending", IF(BP60&lt;0.5, "Complete", "In Progress"))</f>
        <v>#REF!</v>
      </c>
      <c r="BR60" s="22">
        <v>0</v>
      </c>
      <c r="BS60" s="22" t="e">
        <f t="shared" si="5"/>
        <v>#REF!</v>
      </c>
      <c r="BT60" s="23" t="e">
        <f>IF(SUMPRODUCT($J$85:BS$85,$J60:BS60)&lt;0.5, "Pending", IF(BS60&lt;0.5, "Complete", "In Progress"))</f>
        <v>#REF!</v>
      </c>
      <c r="BU60" s="22">
        <v>0</v>
      </c>
      <c r="BV60" s="22" t="e">
        <f t="shared" si="6"/>
        <v>#REF!</v>
      </c>
      <c r="BW60" s="23" t="e">
        <f>IF(SUMPRODUCT($J$85:BV$85,$J60:BV60)&lt;0.5, "Pending", IF(BV60&lt;0.5, "Complete", "In Progress"))</f>
        <v>#REF!</v>
      </c>
      <c r="BX60" s="22">
        <v>0</v>
      </c>
      <c r="BY60" s="22" t="e">
        <f t="shared" si="7"/>
        <v>#REF!</v>
      </c>
      <c r="BZ60" s="23" t="e">
        <f>IF(SUMPRODUCT($J$85:BY$85,$J60:BY60)&lt;0.5, "Pending", IF(BY60&lt;0.5, "Complete", "In Progress"))</f>
        <v>#REF!</v>
      </c>
      <c r="CA60" s="22">
        <v>0</v>
      </c>
      <c r="CB60" s="22" t="e">
        <f t="shared" si="8"/>
        <v>#REF!</v>
      </c>
      <c r="CC60" s="23" t="e">
        <f>IF(SUMPRODUCT($J$85:CB$85,$J60:CB60)&lt;0.5, "Pending", IF(CB60&lt;0.5, "Complete", "In Progress"))</f>
        <v>#REF!</v>
      </c>
      <c r="CD60" s="24"/>
      <c r="CE60" s="25">
        <f>SUMPRODUCT($H$85:AY$85,$H60:AY60)</f>
        <v>43</v>
      </c>
    </row>
    <row r="61" spans="1:83" ht="13.8" customHeight="1" x14ac:dyDescent="0.25">
      <c r="A61" s="16" t="s">
        <v>104</v>
      </c>
      <c r="B61" s="16" t="s">
        <v>108</v>
      </c>
      <c r="C61" s="16" t="s">
        <v>506</v>
      </c>
      <c r="D61" s="17" t="s">
        <v>185</v>
      </c>
      <c r="E61" s="158" t="s">
        <v>356</v>
      </c>
      <c r="F61" s="158" t="s">
        <v>497</v>
      </c>
      <c r="G61" s="19"/>
      <c r="H61" s="20">
        <v>1</v>
      </c>
      <c r="I61" s="21">
        <v>6</v>
      </c>
      <c r="J61" s="21">
        <v>0</v>
      </c>
      <c r="K61" s="21">
        <v>0</v>
      </c>
      <c r="L61" s="21">
        <v>0</v>
      </c>
      <c r="M61" s="21">
        <v>0</v>
      </c>
      <c r="N61" s="21">
        <v>0</v>
      </c>
      <c r="O61" s="21">
        <v>0</v>
      </c>
      <c r="P61" s="21">
        <v>0</v>
      </c>
      <c r="Q61" s="21">
        <v>0</v>
      </c>
      <c r="R61" s="21">
        <v>0</v>
      </c>
      <c r="S61" s="21">
        <v>0</v>
      </c>
      <c r="T61" s="21">
        <v>0</v>
      </c>
      <c r="U61" s="21">
        <v>0</v>
      </c>
      <c r="V61" s="21">
        <v>0</v>
      </c>
      <c r="W61" s="21">
        <v>0</v>
      </c>
      <c r="X61" s="21">
        <v>0</v>
      </c>
      <c r="Y61" s="21">
        <v>0</v>
      </c>
      <c r="Z61" s="21">
        <v>0</v>
      </c>
      <c r="AA61" s="21">
        <v>0</v>
      </c>
      <c r="AB61" s="21">
        <v>0</v>
      </c>
      <c r="AC61" s="21">
        <v>0</v>
      </c>
      <c r="AD61" s="21">
        <v>0</v>
      </c>
      <c r="AE61" s="21">
        <v>0</v>
      </c>
      <c r="AF61" s="21">
        <v>0</v>
      </c>
      <c r="AG61" s="21">
        <v>0</v>
      </c>
      <c r="AH61" s="21">
        <v>0</v>
      </c>
      <c r="AI61" s="21">
        <v>0</v>
      </c>
      <c r="AJ61" s="21">
        <v>0</v>
      </c>
      <c r="AK61" s="21">
        <v>0</v>
      </c>
      <c r="AL61" s="21">
        <v>0</v>
      </c>
      <c r="AM61" s="21">
        <v>0</v>
      </c>
      <c r="AN61" s="21">
        <v>0</v>
      </c>
      <c r="AO61" s="21">
        <v>0</v>
      </c>
      <c r="AP61" s="21">
        <v>0</v>
      </c>
      <c r="AQ61" s="21">
        <v>0</v>
      </c>
      <c r="AR61" s="21">
        <v>0</v>
      </c>
      <c r="AS61" s="21">
        <v>0</v>
      </c>
      <c r="AT61" s="21">
        <v>0</v>
      </c>
      <c r="AU61" s="21">
        <v>0</v>
      </c>
      <c r="AV61" s="21">
        <v>0</v>
      </c>
      <c r="AW61" s="21">
        <v>0</v>
      </c>
      <c r="AX61" s="21">
        <v>0</v>
      </c>
      <c r="AY61" s="21">
        <v>0</v>
      </c>
      <c r="AZ61" s="22">
        <v>0</v>
      </c>
      <c r="BA61" s="22" t="e">
        <f>MAX(#REF!-AZ61,0)</f>
        <v>#REF!</v>
      </c>
      <c r="BB61" s="23" t="e">
        <f>IF(SUMPRODUCT($J$85:BA$85,$J61:BA61)&lt;0.5, "Pending", IF(BA61&lt;0.5, "Complete", "In Progress"))</f>
        <v>#REF!</v>
      </c>
      <c r="BC61" s="22">
        <v>0</v>
      </c>
      <c r="BD61" s="22" t="e">
        <f t="shared" si="0"/>
        <v>#REF!</v>
      </c>
      <c r="BE61" s="23" t="e">
        <f>IF(SUMPRODUCT($J$85:BD$85,$J61:BD61)&lt;0.5, "Pending", IF(BD61&lt;0.5, "Complete", "In Progress"))</f>
        <v>#REF!</v>
      </c>
      <c r="BF61" s="22">
        <v>0</v>
      </c>
      <c r="BG61" s="22" t="e">
        <f t="shared" si="1"/>
        <v>#REF!</v>
      </c>
      <c r="BH61" s="23" t="e">
        <f>IF(SUMPRODUCT($J$85:BG$85,$J61:BG61)&lt;0.5, "Pending", IF(BG61&lt;0.5, "Complete", "In Progress"))</f>
        <v>#REF!</v>
      </c>
      <c r="BI61" s="22">
        <v>0</v>
      </c>
      <c r="BJ61" s="22" t="e">
        <f t="shared" si="2"/>
        <v>#REF!</v>
      </c>
      <c r="BK61" s="23" t="e">
        <f>IF(SUMPRODUCT($J$85:BJ$85,$J61:BJ61)&lt;0.5, "Pending", IF(BJ61&lt;0.5, "Complete", "In Progress"))</f>
        <v>#REF!</v>
      </c>
      <c r="BL61" s="22">
        <v>0</v>
      </c>
      <c r="BM61" s="22" t="e">
        <f t="shared" si="3"/>
        <v>#REF!</v>
      </c>
      <c r="BN61" s="23" t="e">
        <f>IF(SUMPRODUCT($J$85:BM$85,$J61:BM61)&lt;0.5, "Pending", IF(BM61&lt;0.5, "Complete", "In Progress"))</f>
        <v>#REF!</v>
      </c>
      <c r="BO61" s="22">
        <v>0</v>
      </c>
      <c r="BP61" s="22" t="e">
        <f t="shared" si="4"/>
        <v>#REF!</v>
      </c>
      <c r="BQ61" s="23" t="e">
        <f>IF(SUMPRODUCT($J$85:BP$85,$J61:BP61)&lt;0.5, "Pending", IF(BP61&lt;0.5, "Complete", "In Progress"))</f>
        <v>#REF!</v>
      </c>
      <c r="BR61" s="22">
        <v>0</v>
      </c>
      <c r="BS61" s="22" t="e">
        <f t="shared" si="5"/>
        <v>#REF!</v>
      </c>
      <c r="BT61" s="23" t="e">
        <f>IF(SUMPRODUCT($J$85:BS$85,$J61:BS61)&lt;0.5, "Pending", IF(BS61&lt;0.5, "Complete", "In Progress"))</f>
        <v>#REF!</v>
      </c>
      <c r="BU61" s="22">
        <v>0</v>
      </c>
      <c r="BV61" s="22" t="e">
        <f t="shared" si="6"/>
        <v>#REF!</v>
      </c>
      <c r="BW61" s="23" t="e">
        <f>IF(SUMPRODUCT($J$85:BV$85,$J61:BV61)&lt;0.5, "Pending", IF(BV61&lt;0.5, "Complete", "In Progress"))</f>
        <v>#REF!</v>
      </c>
      <c r="BX61" s="22">
        <v>0</v>
      </c>
      <c r="BY61" s="22" t="e">
        <f t="shared" si="7"/>
        <v>#REF!</v>
      </c>
      <c r="BZ61" s="23" t="e">
        <f>IF(SUMPRODUCT($J$85:BY$85,$J61:BY61)&lt;0.5, "Pending", IF(BY61&lt;0.5, "Complete", "In Progress"))</f>
        <v>#REF!</v>
      </c>
      <c r="CA61" s="22">
        <v>0</v>
      </c>
      <c r="CB61" s="22" t="e">
        <f t="shared" si="8"/>
        <v>#REF!</v>
      </c>
      <c r="CC61" s="23" t="e">
        <f>IF(SUMPRODUCT($J$85:CB$85,$J61:CB61)&lt;0.5, "Pending", IF(CB61&lt;0.5, "Complete", "In Progress"))</f>
        <v>#REF!</v>
      </c>
      <c r="CD61" s="24"/>
      <c r="CE61" s="25">
        <f>SUMPRODUCT($H$85:AY$85,$H61:AY61)</f>
        <v>43</v>
      </c>
    </row>
    <row r="62" spans="1:83" ht="13.8" customHeight="1" x14ac:dyDescent="0.25">
      <c r="A62" s="16" t="s">
        <v>104</v>
      </c>
      <c r="B62" s="16" t="s">
        <v>108</v>
      </c>
      <c r="C62" s="16" t="s">
        <v>506</v>
      </c>
      <c r="D62" s="17" t="s">
        <v>186</v>
      </c>
      <c r="E62" s="158" t="s">
        <v>357</v>
      </c>
      <c r="F62" s="158" t="s">
        <v>498</v>
      </c>
      <c r="G62" s="19"/>
      <c r="H62" s="20">
        <v>1</v>
      </c>
      <c r="I62" s="21">
        <v>6</v>
      </c>
      <c r="J62" s="21">
        <v>0</v>
      </c>
      <c r="K62" s="21">
        <v>0</v>
      </c>
      <c r="L62" s="21">
        <v>0</v>
      </c>
      <c r="M62" s="21">
        <v>0</v>
      </c>
      <c r="N62" s="21">
        <v>0</v>
      </c>
      <c r="O62" s="21">
        <v>0</v>
      </c>
      <c r="P62" s="21">
        <v>0</v>
      </c>
      <c r="Q62" s="21">
        <v>0</v>
      </c>
      <c r="R62" s="21">
        <v>0</v>
      </c>
      <c r="S62" s="21">
        <v>0</v>
      </c>
      <c r="T62" s="21">
        <v>0</v>
      </c>
      <c r="U62" s="21">
        <v>0</v>
      </c>
      <c r="V62" s="21">
        <v>0</v>
      </c>
      <c r="W62" s="21">
        <v>0</v>
      </c>
      <c r="X62" s="21">
        <v>0</v>
      </c>
      <c r="Y62" s="21">
        <v>0</v>
      </c>
      <c r="Z62" s="21">
        <v>0</v>
      </c>
      <c r="AA62" s="21">
        <v>0</v>
      </c>
      <c r="AB62" s="21">
        <v>0</v>
      </c>
      <c r="AC62" s="21">
        <v>0</v>
      </c>
      <c r="AD62" s="21">
        <v>0</v>
      </c>
      <c r="AE62" s="21">
        <v>0</v>
      </c>
      <c r="AF62" s="21">
        <v>0</v>
      </c>
      <c r="AG62" s="21">
        <v>0</v>
      </c>
      <c r="AH62" s="21">
        <v>0</v>
      </c>
      <c r="AI62" s="21">
        <v>0</v>
      </c>
      <c r="AJ62" s="21">
        <v>0</v>
      </c>
      <c r="AK62" s="21">
        <v>0</v>
      </c>
      <c r="AL62" s="21">
        <v>0</v>
      </c>
      <c r="AM62" s="21">
        <v>0</v>
      </c>
      <c r="AN62" s="21">
        <v>0</v>
      </c>
      <c r="AO62" s="21">
        <v>0</v>
      </c>
      <c r="AP62" s="21">
        <v>0</v>
      </c>
      <c r="AQ62" s="21">
        <v>0</v>
      </c>
      <c r="AR62" s="21">
        <v>0</v>
      </c>
      <c r="AS62" s="21">
        <v>0</v>
      </c>
      <c r="AT62" s="21">
        <v>0</v>
      </c>
      <c r="AU62" s="21">
        <v>0</v>
      </c>
      <c r="AV62" s="21">
        <v>0</v>
      </c>
      <c r="AW62" s="21">
        <v>0</v>
      </c>
      <c r="AX62" s="21">
        <v>0</v>
      </c>
      <c r="AY62" s="21">
        <v>0</v>
      </c>
      <c r="AZ62" s="22">
        <v>0</v>
      </c>
      <c r="BA62" s="22" t="e">
        <f>MAX(#REF!-AZ62,0)</f>
        <v>#REF!</v>
      </c>
      <c r="BB62" s="23" t="e">
        <f>IF(SUMPRODUCT($J$85:BA$85,$J62:BA62)&lt;0.5, "Pending", IF(BA62&lt;0.5, "Complete", "In Progress"))</f>
        <v>#REF!</v>
      </c>
      <c r="BC62" s="22">
        <v>0</v>
      </c>
      <c r="BD62" s="22" t="e">
        <f t="shared" si="0"/>
        <v>#REF!</v>
      </c>
      <c r="BE62" s="23" t="e">
        <f>IF(SUMPRODUCT($J$85:BD$85,$J62:BD62)&lt;0.5, "Pending", IF(BD62&lt;0.5, "Complete", "In Progress"))</f>
        <v>#REF!</v>
      </c>
      <c r="BF62" s="22">
        <v>0</v>
      </c>
      <c r="BG62" s="22" t="e">
        <f t="shared" si="1"/>
        <v>#REF!</v>
      </c>
      <c r="BH62" s="23" t="e">
        <f>IF(SUMPRODUCT($J$85:BG$85,$J62:BG62)&lt;0.5, "Pending", IF(BG62&lt;0.5, "Complete", "In Progress"))</f>
        <v>#REF!</v>
      </c>
      <c r="BI62" s="22">
        <v>0</v>
      </c>
      <c r="BJ62" s="22" t="e">
        <f t="shared" si="2"/>
        <v>#REF!</v>
      </c>
      <c r="BK62" s="23" t="e">
        <f>IF(SUMPRODUCT($J$85:BJ$85,$J62:BJ62)&lt;0.5, "Pending", IF(BJ62&lt;0.5, "Complete", "In Progress"))</f>
        <v>#REF!</v>
      </c>
      <c r="BL62" s="22">
        <v>0</v>
      </c>
      <c r="BM62" s="22" t="e">
        <f t="shared" si="3"/>
        <v>#REF!</v>
      </c>
      <c r="BN62" s="23" t="e">
        <f>IF(SUMPRODUCT($J$85:BM$85,$J62:BM62)&lt;0.5, "Pending", IF(BM62&lt;0.5, "Complete", "In Progress"))</f>
        <v>#REF!</v>
      </c>
      <c r="BO62" s="22">
        <v>0</v>
      </c>
      <c r="BP62" s="22" t="e">
        <f t="shared" si="4"/>
        <v>#REF!</v>
      </c>
      <c r="BQ62" s="23" t="e">
        <f>IF(SUMPRODUCT($J$85:BP$85,$J62:BP62)&lt;0.5, "Pending", IF(BP62&lt;0.5, "Complete", "In Progress"))</f>
        <v>#REF!</v>
      </c>
      <c r="BR62" s="22">
        <v>0</v>
      </c>
      <c r="BS62" s="22" t="e">
        <f t="shared" si="5"/>
        <v>#REF!</v>
      </c>
      <c r="BT62" s="23" t="e">
        <f>IF(SUMPRODUCT($J$85:BS$85,$J62:BS62)&lt;0.5, "Pending", IF(BS62&lt;0.5, "Complete", "In Progress"))</f>
        <v>#REF!</v>
      </c>
      <c r="BU62" s="22">
        <v>0</v>
      </c>
      <c r="BV62" s="22" t="e">
        <f t="shared" si="6"/>
        <v>#REF!</v>
      </c>
      <c r="BW62" s="23" t="e">
        <f>IF(SUMPRODUCT($J$85:BV$85,$J62:BV62)&lt;0.5, "Pending", IF(BV62&lt;0.5, "Complete", "In Progress"))</f>
        <v>#REF!</v>
      </c>
      <c r="BX62" s="22">
        <v>0</v>
      </c>
      <c r="BY62" s="22" t="e">
        <f t="shared" si="7"/>
        <v>#REF!</v>
      </c>
      <c r="BZ62" s="23" t="e">
        <f>IF(SUMPRODUCT($J$85:BY$85,$J62:BY62)&lt;0.5, "Pending", IF(BY62&lt;0.5, "Complete", "In Progress"))</f>
        <v>#REF!</v>
      </c>
      <c r="CA62" s="22">
        <v>0</v>
      </c>
      <c r="CB62" s="22" t="e">
        <f t="shared" si="8"/>
        <v>#REF!</v>
      </c>
      <c r="CC62" s="23" t="e">
        <f>IF(SUMPRODUCT($J$85:CB$85,$J62:CB62)&lt;0.5, "Pending", IF(CB62&lt;0.5, "Complete", "In Progress"))</f>
        <v>#REF!</v>
      </c>
      <c r="CD62" s="24"/>
      <c r="CE62" s="25">
        <f>SUMPRODUCT($H$85:AY$85,$H62:AY62)</f>
        <v>43</v>
      </c>
    </row>
    <row r="63" spans="1:83" ht="13.8" customHeight="1" x14ac:dyDescent="0.25">
      <c r="A63" s="16" t="s">
        <v>104</v>
      </c>
      <c r="B63" s="16" t="s">
        <v>118</v>
      </c>
      <c r="C63" s="16" t="s">
        <v>506</v>
      </c>
      <c r="D63" s="17" t="s">
        <v>187</v>
      </c>
      <c r="E63" s="158" t="s">
        <v>358</v>
      </c>
      <c r="F63" s="158" t="s">
        <v>496</v>
      </c>
      <c r="G63" s="19"/>
      <c r="H63" s="20">
        <v>1</v>
      </c>
      <c r="I63" s="21">
        <v>6</v>
      </c>
      <c r="J63" s="21">
        <v>0</v>
      </c>
      <c r="K63" s="21">
        <v>0</v>
      </c>
      <c r="L63" s="21">
        <v>0</v>
      </c>
      <c r="M63" s="21">
        <v>0</v>
      </c>
      <c r="N63" s="21">
        <v>0</v>
      </c>
      <c r="O63" s="21">
        <v>0</v>
      </c>
      <c r="P63" s="21">
        <v>0</v>
      </c>
      <c r="Q63" s="21">
        <v>0</v>
      </c>
      <c r="R63" s="21">
        <v>0</v>
      </c>
      <c r="S63" s="21">
        <v>0</v>
      </c>
      <c r="T63" s="21">
        <v>0</v>
      </c>
      <c r="U63" s="21">
        <v>0</v>
      </c>
      <c r="V63" s="21">
        <v>0</v>
      </c>
      <c r="W63" s="21">
        <v>0</v>
      </c>
      <c r="X63" s="21">
        <v>0</v>
      </c>
      <c r="Y63" s="21">
        <v>0</v>
      </c>
      <c r="Z63" s="21">
        <v>0</v>
      </c>
      <c r="AA63" s="21">
        <v>0</v>
      </c>
      <c r="AB63" s="21">
        <v>0</v>
      </c>
      <c r="AC63" s="21">
        <v>0</v>
      </c>
      <c r="AD63" s="21">
        <v>0</v>
      </c>
      <c r="AE63" s="21">
        <v>0</v>
      </c>
      <c r="AF63" s="21">
        <v>0</v>
      </c>
      <c r="AG63" s="21">
        <v>0</v>
      </c>
      <c r="AH63" s="21">
        <v>0</v>
      </c>
      <c r="AI63" s="21">
        <v>0</v>
      </c>
      <c r="AJ63" s="21">
        <v>0</v>
      </c>
      <c r="AK63" s="21">
        <v>0</v>
      </c>
      <c r="AL63" s="21">
        <v>0</v>
      </c>
      <c r="AM63" s="21">
        <v>0</v>
      </c>
      <c r="AN63" s="21">
        <v>0</v>
      </c>
      <c r="AO63" s="21">
        <v>0</v>
      </c>
      <c r="AP63" s="21">
        <v>0</v>
      </c>
      <c r="AQ63" s="21">
        <v>0</v>
      </c>
      <c r="AR63" s="21">
        <v>0</v>
      </c>
      <c r="AS63" s="21">
        <v>0</v>
      </c>
      <c r="AT63" s="21">
        <v>0</v>
      </c>
      <c r="AU63" s="21">
        <v>0</v>
      </c>
      <c r="AV63" s="21">
        <v>0</v>
      </c>
      <c r="AW63" s="21">
        <v>0</v>
      </c>
      <c r="AX63" s="21">
        <v>0</v>
      </c>
      <c r="AY63" s="21">
        <v>0</v>
      </c>
      <c r="AZ63" s="22">
        <v>0</v>
      </c>
      <c r="BA63" s="22" t="e">
        <f>MAX(#REF!-AZ63,0)</f>
        <v>#REF!</v>
      </c>
      <c r="BB63" s="23" t="e">
        <f>IF(SUMPRODUCT($J$85:BA$85,$J63:BA63)&lt;0.5, "Pending", IF(BA63&lt;0.5, "Complete", "In Progress"))</f>
        <v>#REF!</v>
      </c>
      <c r="BC63" s="22">
        <v>0</v>
      </c>
      <c r="BD63" s="22" t="e">
        <f t="shared" si="0"/>
        <v>#REF!</v>
      </c>
      <c r="BE63" s="23" t="e">
        <f>IF(SUMPRODUCT($J$85:BD$85,$J63:BD63)&lt;0.5, "Pending", IF(BD63&lt;0.5, "Complete", "In Progress"))</f>
        <v>#REF!</v>
      </c>
      <c r="BF63" s="22">
        <v>0</v>
      </c>
      <c r="BG63" s="22" t="e">
        <f t="shared" si="1"/>
        <v>#REF!</v>
      </c>
      <c r="BH63" s="23" t="e">
        <f>IF(SUMPRODUCT($J$85:BG$85,$J63:BG63)&lt;0.5, "Pending", IF(BG63&lt;0.5, "Complete", "In Progress"))</f>
        <v>#REF!</v>
      </c>
      <c r="BI63" s="22">
        <v>0</v>
      </c>
      <c r="BJ63" s="22" t="e">
        <f t="shared" si="2"/>
        <v>#REF!</v>
      </c>
      <c r="BK63" s="23" t="e">
        <f>IF(SUMPRODUCT($J$85:BJ$85,$J63:BJ63)&lt;0.5, "Pending", IF(BJ63&lt;0.5, "Complete", "In Progress"))</f>
        <v>#REF!</v>
      </c>
      <c r="BL63" s="22">
        <v>0</v>
      </c>
      <c r="BM63" s="22" t="e">
        <f t="shared" si="3"/>
        <v>#REF!</v>
      </c>
      <c r="BN63" s="23" t="e">
        <f>IF(SUMPRODUCT($J$85:BM$85,$J63:BM63)&lt;0.5, "Pending", IF(BM63&lt;0.5, "Complete", "In Progress"))</f>
        <v>#REF!</v>
      </c>
      <c r="BO63" s="22">
        <v>0</v>
      </c>
      <c r="BP63" s="22" t="e">
        <f t="shared" si="4"/>
        <v>#REF!</v>
      </c>
      <c r="BQ63" s="23" t="e">
        <f>IF(SUMPRODUCT($J$85:BP$85,$J63:BP63)&lt;0.5, "Pending", IF(BP63&lt;0.5, "Complete", "In Progress"))</f>
        <v>#REF!</v>
      </c>
      <c r="BR63" s="22">
        <v>0</v>
      </c>
      <c r="BS63" s="22" t="e">
        <f t="shared" si="5"/>
        <v>#REF!</v>
      </c>
      <c r="BT63" s="23" t="e">
        <f>IF(SUMPRODUCT($J$85:BS$85,$J63:BS63)&lt;0.5, "Pending", IF(BS63&lt;0.5, "Complete", "In Progress"))</f>
        <v>#REF!</v>
      </c>
      <c r="BU63" s="22">
        <v>0</v>
      </c>
      <c r="BV63" s="22" t="e">
        <f t="shared" si="6"/>
        <v>#REF!</v>
      </c>
      <c r="BW63" s="23" t="e">
        <f>IF(SUMPRODUCT($J$85:BV$85,$J63:BV63)&lt;0.5, "Pending", IF(BV63&lt;0.5, "Complete", "In Progress"))</f>
        <v>#REF!</v>
      </c>
      <c r="BX63" s="22">
        <v>0</v>
      </c>
      <c r="BY63" s="22" t="e">
        <f t="shared" si="7"/>
        <v>#REF!</v>
      </c>
      <c r="BZ63" s="23" t="e">
        <f>IF(SUMPRODUCT($J$85:BY$85,$J63:BY63)&lt;0.5, "Pending", IF(BY63&lt;0.5, "Complete", "In Progress"))</f>
        <v>#REF!</v>
      </c>
      <c r="CA63" s="22">
        <v>0</v>
      </c>
      <c r="CB63" s="22" t="e">
        <f t="shared" si="8"/>
        <v>#REF!</v>
      </c>
      <c r="CC63" s="23" t="e">
        <f>IF(SUMPRODUCT($J$85:CB$85,$J63:CB63)&lt;0.5, "Pending", IF(CB63&lt;0.5, "Complete", "In Progress"))</f>
        <v>#REF!</v>
      </c>
      <c r="CD63" s="24"/>
      <c r="CE63" s="25">
        <f>SUMPRODUCT($H$85:AY$85,$H63:AY63)</f>
        <v>43</v>
      </c>
    </row>
    <row r="64" spans="1:83" ht="13.8" customHeight="1" x14ac:dyDescent="0.25">
      <c r="A64" s="16" t="s">
        <v>103</v>
      </c>
      <c r="B64" s="16" t="s">
        <v>117</v>
      </c>
      <c r="C64" s="16" t="s">
        <v>506</v>
      </c>
      <c r="D64" s="17" t="s">
        <v>188</v>
      </c>
      <c r="E64" s="158" t="s">
        <v>359</v>
      </c>
      <c r="F64" s="158" t="s">
        <v>495</v>
      </c>
      <c r="G64" s="169"/>
      <c r="H64" s="20">
        <v>1</v>
      </c>
      <c r="I64" s="21">
        <v>6</v>
      </c>
      <c r="J64" s="21">
        <v>0</v>
      </c>
      <c r="K64" s="21">
        <v>0</v>
      </c>
      <c r="L64" s="21">
        <v>0</v>
      </c>
      <c r="M64" s="21">
        <v>0</v>
      </c>
      <c r="N64" s="21">
        <v>0</v>
      </c>
      <c r="O64" s="21">
        <v>0</v>
      </c>
      <c r="P64" s="21">
        <v>0</v>
      </c>
      <c r="Q64" s="21">
        <v>0</v>
      </c>
      <c r="R64" s="21">
        <v>0</v>
      </c>
      <c r="S64" s="21">
        <v>0</v>
      </c>
      <c r="T64" s="21">
        <v>0</v>
      </c>
      <c r="U64" s="21">
        <v>0</v>
      </c>
      <c r="V64" s="21">
        <v>0</v>
      </c>
      <c r="W64" s="21">
        <v>0</v>
      </c>
      <c r="X64" s="21">
        <v>0</v>
      </c>
      <c r="Y64" s="21">
        <v>0</v>
      </c>
      <c r="Z64" s="21">
        <v>0</v>
      </c>
      <c r="AA64" s="21">
        <v>0</v>
      </c>
      <c r="AB64" s="21">
        <v>0</v>
      </c>
      <c r="AC64" s="21">
        <v>0</v>
      </c>
      <c r="AD64" s="21">
        <v>0</v>
      </c>
      <c r="AE64" s="21">
        <v>0</v>
      </c>
      <c r="AF64" s="21">
        <v>0</v>
      </c>
      <c r="AG64" s="21">
        <v>0</v>
      </c>
      <c r="AH64" s="21">
        <v>0</v>
      </c>
      <c r="AI64" s="21">
        <v>0</v>
      </c>
      <c r="AJ64" s="21">
        <v>0</v>
      </c>
      <c r="AK64" s="21">
        <v>0</v>
      </c>
      <c r="AL64" s="21">
        <v>0</v>
      </c>
      <c r="AM64" s="21">
        <v>0</v>
      </c>
      <c r="AN64" s="21">
        <v>0</v>
      </c>
      <c r="AO64" s="21">
        <v>0</v>
      </c>
      <c r="AP64" s="21">
        <v>0</v>
      </c>
      <c r="AQ64" s="21">
        <v>0</v>
      </c>
      <c r="AR64" s="21">
        <v>0</v>
      </c>
      <c r="AS64" s="21">
        <v>0</v>
      </c>
      <c r="AT64" s="21">
        <v>0</v>
      </c>
      <c r="AU64" s="21">
        <v>0</v>
      </c>
      <c r="AV64" s="21">
        <v>0</v>
      </c>
      <c r="AW64" s="21">
        <v>0</v>
      </c>
      <c r="AX64" s="21">
        <v>0</v>
      </c>
      <c r="AY64" s="21">
        <v>0</v>
      </c>
      <c r="AZ64" s="22">
        <v>0</v>
      </c>
      <c r="BA64" s="22" t="e">
        <f>MAX(#REF!-AZ64,0)</f>
        <v>#REF!</v>
      </c>
      <c r="BB64" s="23" t="e">
        <f>IF(SUMPRODUCT($J$85:BA$85,$J64:BA64)&lt;0.5, "Pending", IF(BA64&lt;0.5, "Complete", "In Progress"))</f>
        <v>#REF!</v>
      </c>
      <c r="BC64" s="22">
        <v>0</v>
      </c>
      <c r="BD64" s="22" t="e">
        <f t="shared" si="0"/>
        <v>#REF!</v>
      </c>
      <c r="BE64" s="23" t="e">
        <f>IF(SUMPRODUCT($J$85:BD$85,$J64:BD64)&lt;0.5, "Pending", IF(BD64&lt;0.5, "Complete", "In Progress"))</f>
        <v>#REF!</v>
      </c>
      <c r="BF64" s="22">
        <v>0</v>
      </c>
      <c r="BG64" s="22" t="e">
        <f t="shared" si="1"/>
        <v>#REF!</v>
      </c>
      <c r="BH64" s="23" t="e">
        <f>IF(SUMPRODUCT($J$85:BG$85,$J64:BG64)&lt;0.5, "Pending", IF(BG64&lt;0.5, "Complete", "In Progress"))</f>
        <v>#REF!</v>
      </c>
      <c r="BI64" s="22">
        <v>0</v>
      </c>
      <c r="BJ64" s="22" t="e">
        <f t="shared" si="2"/>
        <v>#REF!</v>
      </c>
      <c r="BK64" s="23" t="e">
        <f>IF(SUMPRODUCT($J$85:BJ$85,$J64:BJ64)&lt;0.5, "Pending", IF(BJ64&lt;0.5, "Complete", "In Progress"))</f>
        <v>#REF!</v>
      </c>
      <c r="BL64" s="22">
        <v>0</v>
      </c>
      <c r="BM64" s="22" t="e">
        <f t="shared" si="3"/>
        <v>#REF!</v>
      </c>
      <c r="BN64" s="23" t="e">
        <f>IF(SUMPRODUCT($J$85:BM$85,$J64:BM64)&lt;0.5, "Pending", IF(BM64&lt;0.5, "Complete", "In Progress"))</f>
        <v>#REF!</v>
      </c>
      <c r="BO64" s="22">
        <v>0</v>
      </c>
      <c r="BP64" s="22" t="e">
        <f t="shared" si="4"/>
        <v>#REF!</v>
      </c>
      <c r="BQ64" s="23" t="e">
        <f>IF(SUMPRODUCT($J$85:BP$85,$J64:BP64)&lt;0.5, "Pending", IF(BP64&lt;0.5, "Complete", "In Progress"))</f>
        <v>#REF!</v>
      </c>
      <c r="BR64" s="22">
        <v>0</v>
      </c>
      <c r="BS64" s="22" t="e">
        <f t="shared" si="5"/>
        <v>#REF!</v>
      </c>
      <c r="BT64" s="23" t="e">
        <f>IF(SUMPRODUCT($J$85:BS$85,$J64:BS64)&lt;0.5, "Pending", IF(BS64&lt;0.5, "Complete", "In Progress"))</f>
        <v>#REF!</v>
      </c>
      <c r="BU64" s="22">
        <v>0</v>
      </c>
      <c r="BV64" s="22" t="e">
        <f t="shared" si="6"/>
        <v>#REF!</v>
      </c>
      <c r="BW64" s="23" t="e">
        <f>IF(SUMPRODUCT($J$85:BV$85,$J64:BV64)&lt;0.5, "Pending", IF(BV64&lt;0.5, "Complete", "In Progress"))</f>
        <v>#REF!</v>
      </c>
      <c r="BX64" s="22">
        <v>0</v>
      </c>
      <c r="BY64" s="22" t="e">
        <f t="shared" si="7"/>
        <v>#REF!</v>
      </c>
      <c r="BZ64" s="23" t="e">
        <f>IF(SUMPRODUCT($J$85:BY$85,$J64:BY64)&lt;0.5, "Pending", IF(BY64&lt;0.5, "Complete", "In Progress"))</f>
        <v>#REF!</v>
      </c>
      <c r="CA64" s="22">
        <v>0</v>
      </c>
      <c r="CB64" s="22" t="e">
        <f t="shared" si="8"/>
        <v>#REF!</v>
      </c>
      <c r="CC64" s="23" t="e">
        <f>IF(SUMPRODUCT($J$85:CB$85,$J64:CB64)&lt;0.5, "Pending", IF(CB64&lt;0.5, "Complete", "In Progress"))</f>
        <v>#REF!</v>
      </c>
      <c r="CD64" s="24"/>
      <c r="CE64" s="25">
        <f>SUMPRODUCT($H$85:AY$85,$H64:AY64)</f>
        <v>43</v>
      </c>
    </row>
    <row r="65" spans="1:83" ht="13.8" customHeight="1" x14ac:dyDescent="0.25">
      <c r="A65" s="16" t="s">
        <v>103</v>
      </c>
      <c r="B65" s="16" t="s">
        <v>110</v>
      </c>
      <c r="C65" s="16" t="s">
        <v>506</v>
      </c>
      <c r="D65" s="17" t="s">
        <v>189</v>
      </c>
      <c r="E65" s="158" t="s">
        <v>360</v>
      </c>
      <c r="F65" s="158" t="s">
        <v>493</v>
      </c>
      <c r="G65" s="168"/>
      <c r="H65" s="20">
        <v>1</v>
      </c>
      <c r="I65" s="21">
        <v>56</v>
      </c>
      <c r="J65" s="21">
        <v>0</v>
      </c>
      <c r="K65" s="21">
        <v>0</v>
      </c>
      <c r="L65" s="21">
        <v>0</v>
      </c>
      <c r="M65" s="21">
        <v>0</v>
      </c>
      <c r="N65" s="21">
        <v>0</v>
      </c>
      <c r="O65" s="21">
        <v>0</v>
      </c>
      <c r="P65" s="21">
        <v>0</v>
      </c>
      <c r="Q65" s="21">
        <v>0</v>
      </c>
      <c r="R65" s="21">
        <v>0</v>
      </c>
      <c r="S65" s="21">
        <v>0</v>
      </c>
      <c r="T65" s="21">
        <v>0</v>
      </c>
      <c r="U65" s="21">
        <v>0</v>
      </c>
      <c r="V65" s="21">
        <v>0</v>
      </c>
      <c r="W65" s="21">
        <v>0</v>
      </c>
      <c r="X65" s="21">
        <v>0</v>
      </c>
      <c r="Y65" s="21">
        <v>0</v>
      </c>
      <c r="Z65" s="21">
        <v>0</v>
      </c>
      <c r="AA65" s="21">
        <v>0</v>
      </c>
      <c r="AB65" s="21">
        <v>0</v>
      </c>
      <c r="AC65" s="21">
        <v>0</v>
      </c>
      <c r="AD65" s="21">
        <v>0</v>
      </c>
      <c r="AE65" s="21">
        <v>0</v>
      </c>
      <c r="AF65" s="21">
        <v>0</v>
      </c>
      <c r="AG65" s="21">
        <v>0</v>
      </c>
      <c r="AH65" s="21">
        <v>0</v>
      </c>
      <c r="AI65" s="21">
        <v>0</v>
      </c>
      <c r="AJ65" s="21">
        <v>0</v>
      </c>
      <c r="AK65" s="21">
        <v>0</v>
      </c>
      <c r="AL65" s="21">
        <v>0</v>
      </c>
      <c r="AM65" s="21">
        <v>0</v>
      </c>
      <c r="AN65" s="21">
        <v>0</v>
      </c>
      <c r="AO65" s="21">
        <v>0</v>
      </c>
      <c r="AP65" s="21">
        <v>0</v>
      </c>
      <c r="AQ65" s="21">
        <v>0</v>
      </c>
      <c r="AR65" s="21">
        <v>0</v>
      </c>
      <c r="AS65" s="21">
        <v>0</v>
      </c>
      <c r="AT65" s="21">
        <v>0</v>
      </c>
      <c r="AU65" s="21">
        <v>0</v>
      </c>
      <c r="AV65" s="21">
        <v>0</v>
      </c>
      <c r="AW65" s="21">
        <v>0</v>
      </c>
      <c r="AX65" s="21">
        <v>0</v>
      </c>
      <c r="AY65" s="21">
        <v>0</v>
      </c>
      <c r="AZ65" s="22">
        <v>0</v>
      </c>
      <c r="BA65" s="22" t="e">
        <f>MAX(#REF!-AZ65,0)</f>
        <v>#REF!</v>
      </c>
      <c r="BB65" s="23" t="e">
        <f>IF(SUMPRODUCT($J$85:BA$85,$J65:BA65)&lt;0.5, "Pending", IF(BA65&lt;0.5, "Complete", "In Progress"))</f>
        <v>#REF!</v>
      </c>
      <c r="BC65" s="22">
        <v>0</v>
      </c>
      <c r="BD65" s="22" t="e">
        <f t="shared" si="0"/>
        <v>#REF!</v>
      </c>
      <c r="BE65" s="23" t="e">
        <f>IF(SUMPRODUCT($J$85:BD$85,$J65:BD65)&lt;0.5, "Pending", IF(BD65&lt;0.5, "Complete", "In Progress"))</f>
        <v>#REF!</v>
      </c>
      <c r="BF65" s="22">
        <v>0</v>
      </c>
      <c r="BG65" s="22" t="e">
        <f t="shared" si="1"/>
        <v>#REF!</v>
      </c>
      <c r="BH65" s="23" t="e">
        <f>IF(SUMPRODUCT($J$85:BG$85,$J65:BG65)&lt;0.5, "Pending", IF(BG65&lt;0.5, "Complete", "In Progress"))</f>
        <v>#REF!</v>
      </c>
      <c r="BI65" s="22">
        <v>0</v>
      </c>
      <c r="BJ65" s="22" t="e">
        <f t="shared" si="2"/>
        <v>#REF!</v>
      </c>
      <c r="BK65" s="23" t="e">
        <f>IF(SUMPRODUCT($J$85:BJ$85,$J65:BJ65)&lt;0.5, "Pending", IF(BJ65&lt;0.5, "Complete", "In Progress"))</f>
        <v>#REF!</v>
      </c>
      <c r="BL65" s="22">
        <v>0</v>
      </c>
      <c r="BM65" s="22" t="e">
        <f t="shared" si="3"/>
        <v>#REF!</v>
      </c>
      <c r="BN65" s="23" t="e">
        <f>IF(SUMPRODUCT($J$85:BM$85,$J65:BM65)&lt;0.5, "Pending", IF(BM65&lt;0.5, "Complete", "In Progress"))</f>
        <v>#REF!</v>
      </c>
      <c r="BO65" s="22">
        <v>0</v>
      </c>
      <c r="BP65" s="22" t="e">
        <f t="shared" si="4"/>
        <v>#REF!</v>
      </c>
      <c r="BQ65" s="23" t="e">
        <f>IF(SUMPRODUCT($J$85:BP$85,$J65:BP65)&lt;0.5, "Pending", IF(BP65&lt;0.5, "Complete", "In Progress"))</f>
        <v>#REF!</v>
      </c>
      <c r="BR65" s="22">
        <v>0</v>
      </c>
      <c r="BS65" s="22" t="e">
        <f t="shared" si="5"/>
        <v>#REF!</v>
      </c>
      <c r="BT65" s="23" t="e">
        <f>IF(SUMPRODUCT($J$85:BS$85,$J65:BS65)&lt;0.5, "Pending", IF(BS65&lt;0.5, "Complete", "In Progress"))</f>
        <v>#REF!</v>
      </c>
      <c r="BU65" s="22">
        <v>0</v>
      </c>
      <c r="BV65" s="22" t="e">
        <f t="shared" si="6"/>
        <v>#REF!</v>
      </c>
      <c r="BW65" s="23" t="e">
        <f>IF(SUMPRODUCT($J$85:BV$85,$J65:BV65)&lt;0.5, "Pending", IF(BV65&lt;0.5, "Complete", "In Progress"))</f>
        <v>#REF!</v>
      </c>
      <c r="BX65" s="22">
        <v>0</v>
      </c>
      <c r="BY65" s="22" t="e">
        <f t="shared" si="7"/>
        <v>#REF!</v>
      </c>
      <c r="BZ65" s="23" t="e">
        <f>IF(SUMPRODUCT($J$85:BY$85,$J65:BY65)&lt;0.5, "Pending", IF(BY65&lt;0.5, "Complete", "In Progress"))</f>
        <v>#REF!</v>
      </c>
      <c r="CA65" s="22">
        <v>0</v>
      </c>
      <c r="CB65" s="22" t="e">
        <f t="shared" si="8"/>
        <v>#REF!</v>
      </c>
      <c r="CC65" s="23" t="e">
        <f>IF(SUMPRODUCT($J$85:CB$85,$J65:CB65)&lt;0.5, "Pending", IF(CB65&lt;0.5, "Complete", "In Progress"))</f>
        <v>#REF!</v>
      </c>
      <c r="CD65" s="24"/>
      <c r="CE65" s="25">
        <f>SUMPRODUCT($H$85:AY$85,$H65:AY65)</f>
        <v>393</v>
      </c>
    </row>
    <row r="66" spans="1:83" ht="13.8" customHeight="1" x14ac:dyDescent="0.25">
      <c r="A66" s="16" t="s">
        <v>103</v>
      </c>
      <c r="B66" s="16" t="s">
        <v>117</v>
      </c>
      <c r="C66" s="16" t="s">
        <v>506</v>
      </c>
      <c r="D66" s="17" t="s">
        <v>190</v>
      </c>
      <c r="E66" s="158" t="s">
        <v>361</v>
      </c>
      <c r="F66" s="158" t="s">
        <v>494</v>
      </c>
      <c r="G66" s="19"/>
      <c r="H66" s="20">
        <v>1</v>
      </c>
      <c r="I66" s="21">
        <v>6</v>
      </c>
      <c r="J66" s="21">
        <v>0</v>
      </c>
      <c r="K66" s="21">
        <v>0</v>
      </c>
      <c r="L66" s="21">
        <v>0</v>
      </c>
      <c r="M66" s="21">
        <v>0</v>
      </c>
      <c r="N66" s="21">
        <v>0</v>
      </c>
      <c r="O66" s="21">
        <v>0</v>
      </c>
      <c r="P66" s="21">
        <v>0</v>
      </c>
      <c r="Q66" s="21">
        <v>0</v>
      </c>
      <c r="R66" s="21">
        <v>0</v>
      </c>
      <c r="S66" s="21">
        <v>0</v>
      </c>
      <c r="T66" s="21">
        <v>0</v>
      </c>
      <c r="U66" s="21">
        <v>0</v>
      </c>
      <c r="V66" s="21">
        <v>0</v>
      </c>
      <c r="W66" s="21">
        <v>0</v>
      </c>
      <c r="X66" s="21">
        <v>0</v>
      </c>
      <c r="Y66" s="21">
        <v>0</v>
      </c>
      <c r="Z66" s="21">
        <v>0</v>
      </c>
      <c r="AA66" s="21">
        <v>0</v>
      </c>
      <c r="AB66" s="21">
        <v>0</v>
      </c>
      <c r="AC66" s="21">
        <v>0</v>
      </c>
      <c r="AD66" s="21">
        <v>0</v>
      </c>
      <c r="AE66" s="21">
        <v>0</v>
      </c>
      <c r="AF66" s="21">
        <v>0</v>
      </c>
      <c r="AG66" s="21">
        <v>0</v>
      </c>
      <c r="AH66" s="21">
        <v>0</v>
      </c>
      <c r="AI66" s="21">
        <v>0</v>
      </c>
      <c r="AJ66" s="21">
        <v>0</v>
      </c>
      <c r="AK66" s="21">
        <v>0</v>
      </c>
      <c r="AL66" s="21">
        <v>0</v>
      </c>
      <c r="AM66" s="21">
        <v>0</v>
      </c>
      <c r="AN66" s="21">
        <v>0</v>
      </c>
      <c r="AO66" s="21">
        <v>0</v>
      </c>
      <c r="AP66" s="21">
        <v>0</v>
      </c>
      <c r="AQ66" s="21">
        <v>0</v>
      </c>
      <c r="AR66" s="21">
        <v>0</v>
      </c>
      <c r="AS66" s="21">
        <v>0</v>
      </c>
      <c r="AT66" s="21">
        <v>0</v>
      </c>
      <c r="AU66" s="21">
        <v>0</v>
      </c>
      <c r="AV66" s="21">
        <v>0</v>
      </c>
      <c r="AW66" s="21">
        <v>0</v>
      </c>
      <c r="AX66" s="21">
        <v>0</v>
      </c>
      <c r="AY66" s="21">
        <v>0</v>
      </c>
      <c r="AZ66" s="22">
        <v>0</v>
      </c>
      <c r="BA66" s="22" t="e">
        <f>MAX(#REF!-AZ66,0)</f>
        <v>#REF!</v>
      </c>
      <c r="BB66" s="23" t="e">
        <f>IF(SUMPRODUCT($J$85:BA$85,$J66:BA66)&lt;0.5, "Pending", IF(BA66&lt;0.5, "Complete", "In Progress"))</f>
        <v>#REF!</v>
      </c>
      <c r="BC66" s="22">
        <v>0</v>
      </c>
      <c r="BD66" s="22" t="e">
        <f t="shared" si="0"/>
        <v>#REF!</v>
      </c>
      <c r="BE66" s="23" t="e">
        <f>IF(SUMPRODUCT($J$85:BD$85,$J66:BD66)&lt;0.5, "Pending", IF(BD66&lt;0.5, "Complete", "In Progress"))</f>
        <v>#REF!</v>
      </c>
      <c r="BF66" s="22">
        <v>0</v>
      </c>
      <c r="BG66" s="22" t="e">
        <f t="shared" si="1"/>
        <v>#REF!</v>
      </c>
      <c r="BH66" s="23" t="e">
        <f>IF(SUMPRODUCT($J$85:BG$85,$J66:BG66)&lt;0.5, "Pending", IF(BG66&lt;0.5, "Complete", "In Progress"))</f>
        <v>#REF!</v>
      </c>
      <c r="BI66" s="22">
        <v>0</v>
      </c>
      <c r="BJ66" s="22" t="e">
        <f t="shared" si="2"/>
        <v>#REF!</v>
      </c>
      <c r="BK66" s="23" t="e">
        <f>IF(SUMPRODUCT($J$85:BJ$85,$J66:BJ66)&lt;0.5, "Pending", IF(BJ66&lt;0.5, "Complete", "In Progress"))</f>
        <v>#REF!</v>
      </c>
      <c r="BL66" s="22">
        <v>0</v>
      </c>
      <c r="BM66" s="22" t="e">
        <f t="shared" si="3"/>
        <v>#REF!</v>
      </c>
      <c r="BN66" s="23" t="e">
        <f>IF(SUMPRODUCT($J$85:BM$85,$J66:BM66)&lt;0.5, "Pending", IF(BM66&lt;0.5, "Complete", "In Progress"))</f>
        <v>#REF!</v>
      </c>
      <c r="BO66" s="22">
        <v>0</v>
      </c>
      <c r="BP66" s="22" t="e">
        <f t="shared" si="4"/>
        <v>#REF!</v>
      </c>
      <c r="BQ66" s="23" t="e">
        <f>IF(SUMPRODUCT($J$85:BP$85,$J66:BP66)&lt;0.5, "Pending", IF(BP66&lt;0.5, "Complete", "In Progress"))</f>
        <v>#REF!</v>
      </c>
      <c r="BR66" s="22">
        <v>0</v>
      </c>
      <c r="BS66" s="22" t="e">
        <f t="shared" si="5"/>
        <v>#REF!</v>
      </c>
      <c r="BT66" s="23" t="e">
        <f>IF(SUMPRODUCT($J$85:BS$85,$J66:BS66)&lt;0.5, "Pending", IF(BS66&lt;0.5, "Complete", "In Progress"))</f>
        <v>#REF!</v>
      </c>
      <c r="BU66" s="22">
        <v>0</v>
      </c>
      <c r="BV66" s="22" t="e">
        <f t="shared" si="6"/>
        <v>#REF!</v>
      </c>
      <c r="BW66" s="23" t="e">
        <f>IF(SUMPRODUCT($J$85:BV$85,$J66:BV66)&lt;0.5, "Pending", IF(BV66&lt;0.5, "Complete", "In Progress"))</f>
        <v>#REF!</v>
      </c>
      <c r="BX66" s="22">
        <v>0</v>
      </c>
      <c r="BY66" s="22" t="e">
        <f t="shared" si="7"/>
        <v>#REF!</v>
      </c>
      <c r="BZ66" s="23" t="e">
        <f>IF(SUMPRODUCT($J$85:BY$85,$J66:BY66)&lt;0.5, "Pending", IF(BY66&lt;0.5, "Complete", "In Progress"))</f>
        <v>#REF!</v>
      </c>
      <c r="CA66" s="22">
        <v>0</v>
      </c>
      <c r="CB66" s="22" t="e">
        <f t="shared" si="8"/>
        <v>#REF!</v>
      </c>
      <c r="CC66" s="23" t="e">
        <f>IF(SUMPRODUCT($J$85:CB$85,$J66:CB66)&lt;0.5, "Pending", IF(CB66&lt;0.5, "Complete", "In Progress"))</f>
        <v>#REF!</v>
      </c>
      <c r="CD66" s="24"/>
      <c r="CE66" s="25">
        <f>SUMPRODUCT($H$85:AY$85,$H66:AY66)</f>
        <v>43</v>
      </c>
    </row>
    <row r="67" spans="1:83" ht="13.8" customHeight="1" x14ac:dyDescent="0.25">
      <c r="A67" s="16" t="s">
        <v>103</v>
      </c>
      <c r="B67" s="16" t="s">
        <v>108</v>
      </c>
      <c r="C67" s="16" t="s">
        <v>507</v>
      </c>
      <c r="D67" s="17">
        <v>4</v>
      </c>
      <c r="E67" s="158" t="s">
        <v>362</v>
      </c>
      <c r="F67" s="158" t="s">
        <v>497</v>
      </c>
      <c r="G67" s="19"/>
      <c r="H67" s="20">
        <v>1</v>
      </c>
      <c r="I67" s="21">
        <v>6</v>
      </c>
      <c r="J67" s="21">
        <v>0</v>
      </c>
      <c r="K67" s="21">
        <v>0</v>
      </c>
      <c r="L67" s="21">
        <v>0</v>
      </c>
      <c r="M67" s="21">
        <v>0</v>
      </c>
      <c r="N67" s="21">
        <v>0</v>
      </c>
      <c r="O67" s="21">
        <v>0</v>
      </c>
      <c r="P67" s="21">
        <v>0</v>
      </c>
      <c r="Q67" s="21">
        <v>0</v>
      </c>
      <c r="R67" s="21">
        <v>0</v>
      </c>
      <c r="S67" s="21">
        <v>0</v>
      </c>
      <c r="T67" s="21">
        <v>0</v>
      </c>
      <c r="U67" s="21">
        <v>0</v>
      </c>
      <c r="V67" s="21">
        <v>0</v>
      </c>
      <c r="W67" s="21">
        <v>0</v>
      </c>
      <c r="X67" s="21">
        <v>0</v>
      </c>
      <c r="Y67" s="21">
        <v>0</v>
      </c>
      <c r="Z67" s="21">
        <v>0</v>
      </c>
      <c r="AA67" s="21">
        <v>0</v>
      </c>
      <c r="AB67" s="21">
        <v>0</v>
      </c>
      <c r="AC67" s="21">
        <v>0</v>
      </c>
      <c r="AD67" s="21">
        <v>0</v>
      </c>
      <c r="AE67" s="21">
        <v>0</v>
      </c>
      <c r="AF67" s="21">
        <v>0</v>
      </c>
      <c r="AG67" s="21">
        <v>0</v>
      </c>
      <c r="AH67" s="21">
        <v>0</v>
      </c>
      <c r="AI67" s="21">
        <v>0</v>
      </c>
      <c r="AJ67" s="21">
        <v>0</v>
      </c>
      <c r="AK67" s="21">
        <v>0</v>
      </c>
      <c r="AL67" s="21">
        <v>0</v>
      </c>
      <c r="AM67" s="21">
        <v>0</v>
      </c>
      <c r="AN67" s="21">
        <v>0</v>
      </c>
      <c r="AO67" s="21">
        <v>0</v>
      </c>
      <c r="AP67" s="21">
        <v>0</v>
      </c>
      <c r="AQ67" s="21">
        <v>0</v>
      </c>
      <c r="AR67" s="21">
        <v>0</v>
      </c>
      <c r="AS67" s="21">
        <v>0</v>
      </c>
      <c r="AT67" s="21">
        <v>0</v>
      </c>
      <c r="AU67" s="21">
        <v>0</v>
      </c>
      <c r="AV67" s="21">
        <v>0</v>
      </c>
      <c r="AW67" s="21">
        <v>0</v>
      </c>
      <c r="AX67" s="21">
        <v>0</v>
      </c>
      <c r="AY67" s="21">
        <v>0</v>
      </c>
      <c r="AZ67" s="22">
        <v>0</v>
      </c>
      <c r="BA67" s="22" t="e">
        <f>MAX(#REF!-AZ67,0)</f>
        <v>#REF!</v>
      </c>
      <c r="BB67" s="23" t="e">
        <f>IF(SUMPRODUCT($J$85:BA$85,$J67:BA67)&lt;0.5, "Pending", IF(BA67&lt;0.5, "Complete", "In Progress"))</f>
        <v>#REF!</v>
      </c>
      <c r="BC67" s="22">
        <v>0</v>
      </c>
      <c r="BD67" s="22" t="e">
        <f t="shared" si="0"/>
        <v>#REF!</v>
      </c>
      <c r="BE67" s="23" t="e">
        <f>IF(SUMPRODUCT($J$85:BD$85,$J67:BD67)&lt;0.5, "Pending", IF(BD67&lt;0.5, "Complete", "In Progress"))</f>
        <v>#REF!</v>
      </c>
      <c r="BF67" s="22">
        <v>0</v>
      </c>
      <c r="BG67" s="22" t="e">
        <f t="shared" si="1"/>
        <v>#REF!</v>
      </c>
      <c r="BH67" s="23" t="e">
        <f>IF(SUMPRODUCT($J$85:BG$85,$J67:BG67)&lt;0.5, "Pending", IF(BG67&lt;0.5, "Complete", "In Progress"))</f>
        <v>#REF!</v>
      </c>
      <c r="BI67" s="22">
        <v>0</v>
      </c>
      <c r="BJ67" s="22" t="e">
        <f t="shared" si="2"/>
        <v>#REF!</v>
      </c>
      <c r="BK67" s="23" t="e">
        <f>IF(SUMPRODUCT($J$85:BJ$85,$J67:BJ67)&lt;0.5, "Pending", IF(BJ67&lt;0.5, "Complete", "In Progress"))</f>
        <v>#REF!</v>
      </c>
      <c r="BL67" s="22">
        <v>0</v>
      </c>
      <c r="BM67" s="22" t="e">
        <f t="shared" si="3"/>
        <v>#REF!</v>
      </c>
      <c r="BN67" s="23" t="e">
        <f>IF(SUMPRODUCT($J$85:BM$85,$J67:BM67)&lt;0.5, "Pending", IF(BM67&lt;0.5, "Complete", "In Progress"))</f>
        <v>#REF!</v>
      </c>
      <c r="BO67" s="22">
        <v>0</v>
      </c>
      <c r="BP67" s="22" t="e">
        <f t="shared" si="4"/>
        <v>#REF!</v>
      </c>
      <c r="BQ67" s="23" t="e">
        <f>IF(SUMPRODUCT($J$85:BP$85,$J67:BP67)&lt;0.5, "Pending", IF(BP67&lt;0.5, "Complete", "In Progress"))</f>
        <v>#REF!</v>
      </c>
      <c r="BR67" s="22">
        <v>0</v>
      </c>
      <c r="BS67" s="22" t="e">
        <f t="shared" si="5"/>
        <v>#REF!</v>
      </c>
      <c r="BT67" s="23" t="e">
        <f>IF(SUMPRODUCT($J$85:BS$85,$J67:BS67)&lt;0.5, "Pending", IF(BS67&lt;0.5, "Complete", "In Progress"))</f>
        <v>#REF!</v>
      </c>
      <c r="BU67" s="22">
        <v>0</v>
      </c>
      <c r="BV67" s="22" t="e">
        <f t="shared" si="6"/>
        <v>#REF!</v>
      </c>
      <c r="BW67" s="23" t="e">
        <f>IF(SUMPRODUCT($J$85:BV$85,$J67:BV67)&lt;0.5, "Pending", IF(BV67&lt;0.5, "Complete", "In Progress"))</f>
        <v>#REF!</v>
      </c>
      <c r="BX67" s="22">
        <v>0</v>
      </c>
      <c r="BY67" s="22" t="e">
        <f t="shared" si="7"/>
        <v>#REF!</v>
      </c>
      <c r="BZ67" s="23" t="e">
        <f>IF(SUMPRODUCT($J$85:BY$85,$J67:BY67)&lt;0.5, "Pending", IF(BY67&lt;0.5, "Complete", "In Progress"))</f>
        <v>#REF!</v>
      </c>
      <c r="CA67" s="22">
        <v>0</v>
      </c>
      <c r="CB67" s="22" t="e">
        <f t="shared" si="8"/>
        <v>#REF!</v>
      </c>
      <c r="CC67" s="23" t="e">
        <f>IF(SUMPRODUCT($J$85:CB$85,$J67:CB67)&lt;0.5, "Pending", IF(CB67&lt;0.5, "Complete", "In Progress"))</f>
        <v>#REF!</v>
      </c>
      <c r="CD67" s="24"/>
      <c r="CE67" s="25">
        <f>SUMPRODUCT($H$85:AY$85,$H67:AY67)</f>
        <v>43</v>
      </c>
    </row>
    <row r="68" spans="1:83" ht="13.8" customHeight="1" x14ac:dyDescent="0.25">
      <c r="A68" s="16" t="s">
        <v>103</v>
      </c>
      <c r="B68" s="16" t="s">
        <v>108</v>
      </c>
      <c r="C68" s="16" t="s">
        <v>507</v>
      </c>
      <c r="D68" s="17">
        <v>4.0999999999999996</v>
      </c>
      <c r="E68" s="158" t="s">
        <v>363</v>
      </c>
      <c r="F68" s="158" t="s">
        <v>498</v>
      </c>
      <c r="G68" s="19"/>
      <c r="H68" s="20">
        <v>1</v>
      </c>
      <c r="I68" s="21">
        <v>6</v>
      </c>
      <c r="J68" s="21">
        <v>0</v>
      </c>
      <c r="K68" s="21">
        <v>0</v>
      </c>
      <c r="L68" s="21">
        <v>0</v>
      </c>
      <c r="M68" s="21">
        <v>0</v>
      </c>
      <c r="N68" s="21">
        <v>0</v>
      </c>
      <c r="O68" s="21">
        <v>0</v>
      </c>
      <c r="P68" s="21">
        <v>0</v>
      </c>
      <c r="Q68" s="21">
        <v>0</v>
      </c>
      <c r="R68" s="21">
        <v>0</v>
      </c>
      <c r="S68" s="21">
        <v>0</v>
      </c>
      <c r="T68" s="21">
        <v>0</v>
      </c>
      <c r="U68" s="21">
        <v>0</v>
      </c>
      <c r="V68" s="21">
        <v>0</v>
      </c>
      <c r="W68" s="21">
        <v>0</v>
      </c>
      <c r="X68" s="21">
        <v>0</v>
      </c>
      <c r="Y68" s="21">
        <v>0</v>
      </c>
      <c r="Z68" s="21">
        <v>0</v>
      </c>
      <c r="AA68" s="21">
        <v>0</v>
      </c>
      <c r="AB68" s="21">
        <v>0</v>
      </c>
      <c r="AC68" s="21">
        <v>0</v>
      </c>
      <c r="AD68" s="21">
        <v>0</v>
      </c>
      <c r="AE68" s="21">
        <v>0</v>
      </c>
      <c r="AF68" s="21">
        <v>0</v>
      </c>
      <c r="AG68" s="21">
        <v>0</v>
      </c>
      <c r="AH68" s="21">
        <v>0</v>
      </c>
      <c r="AI68" s="21">
        <v>0</v>
      </c>
      <c r="AJ68" s="21">
        <v>0</v>
      </c>
      <c r="AK68" s="21">
        <v>0</v>
      </c>
      <c r="AL68" s="21">
        <v>0</v>
      </c>
      <c r="AM68" s="21">
        <v>0</v>
      </c>
      <c r="AN68" s="21">
        <v>0</v>
      </c>
      <c r="AO68" s="21">
        <v>0</v>
      </c>
      <c r="AP68" s="21">
        <v>0</v>
      </c>
      <c r="AQ68" s="21">
        <v>0</v>
      </c>
      <c r="AR68" s="21">
        <v>0</v>
      </c>
      <c r="AS68" s="21">
        <v>0</v>
      </c>
      <c r="AT68" s="21">
        <v>0</v>
      </c>
      <c r="AU68" s="21">
        <v>0</v>
      </c>
      <c r="AV68" s="21">
        <v>0</v>
      </c>
      <c r="AW68" s="21">
        <v>0</v>
      </c>
      <c r="AX68" s="21">
        <v>0</v>
      </c>
      <c r="AY68" s="21">
        <v>0</v>
      </c>
      <c r="AZ68" s="22">
        <v>0</v>
      </c>
      <c r="BA68" s="22" t="e">
        <f>MAX(#REF!-AZ68,0)</f>
        <v>#REF!</v>
      </c>
      <c r="BB68" s="23" t="e">
        <f>IF(SUMPRODUCT($J$85:BA$85,$J68:BA68)&lt;0.5, "Pending", IF(BA68&lt;0.5, "Complete", "In Progress"))</f>
        <v>#REF!</v>
      </c>
      <c r="BC68" s="22">
        <v>0</v>
      </c>
      <c r="BD68" s="22" t="e">
        <f t="shared" ref="BD68:BD130" si="9">MAX(BA68-BC68,0)</f>
        <v>#REF!</v>
      </c>
      <c r="BE68" s="23" t="e">
        <f>IF(SUMPRODUCT($J$85:BD$85,$J68:BD68)&lt;0.5, "Pending", IF(BD68&lt;0.5, "Complete", "In Progress"))</f>
        <v>#REF!</v>
      </c>
      <c r="BF68" s="22">
        <v>0</v>
      </c>
      <c r="BG68" s="22" t="e">
        <f t="shared" ref="BG68:BG130" si="10">MAX(BD68-BF68,0)</f>
        <v>#REF!</v>
      </c>
      <c r="BH68" s="23" t="e">
        <f>IF(SUMPRODUCT($J$85:BG$85,$J68:BG68)&lt;0.5, "Pending", IF(BG68&lt;0.5, "Complete", "In Progress"))</f>
        <v>#REF!</v>
      </c>
      <c r="BI68" s="22">
        <v>0</v>
      </c>
      <c r="BJ68" s="22" t="e">
        <f t="shared" ref="BJ68:BJ130" si="11">MAX(BG68-BI68,0)</f>
        <v>#REF!</v>
      </c>
      <c r="BK68" s="23" t="e">
        <f>IF(SUMPRODUCT($J$85:BJ$85,$J68:BJ68)&lt;0.5, "Pending", IF(BJ68&lt;0.5, "Complete", "In Progress"))</f>
        <v>#REF!</v>
      </c>
      <c r="BL68" s="22">
        <v>0</v>
      </c>
      <c r="BM68" s="22" t="e">
        <f t="shared" ref="BM68:BM130" si="12">MAX(BJ68-BL68,0)</f>
        <v>#REF!</v>
      </c>
      <c r="BN68" s="23" t="e">
        <f>IF(SUMPRODUCT($J$85:BM$85,$J68:BM68)&lt;0.5, "Pending", IF(BM68&lt;0.5, "Complete", "In Progress"))</f>
        <v>#REF!</v>
      </c>
      <c r="BO68" s="22">
        <v>0</v>
      </c>
      <c r="BP68" s="22" t="e">
        <f t="shared" ref="BP68:BP130" si="13">MAX(BM68-BO68,0)</f>
        <v>#REF!</v>
      </c>
      <c r="BQ68" s="23" t="e">
        <f>IF(SUMPRODUCT($J$85:BP$85,$J68:BP68)&lt;0.5, "Pending", IF(BP68&lt;0.5, "Complete", "In Progress"))</f>
        <v>#REF!</v>
      </c>
      <c r="BR68" s="22">
        <v>0</v>
      </c>
      <c r="BS68" s="22" t="e">
        <f t="shared" ref="BS68:BS130" si="14">MAX(BP68-BR68,0)</f>
        <v>#REF!</v>
      </c>
      <c r="BT68" s="23" t="e">
        <f>IF(SUMPRODUCT($J$85:BS$85,$J68:BS68)&lt;0.5, "Pending", IF(BS68&lt;0.5, "Complete", "In Progress"))</f>
        <v>#REF!</v>
      </c>
      <c r="BU68" s="22">
        <v>0</v>
      </c>
      <c r="BV68" s="22" t="e">
        <f t="shared" ref="BV68:BV130" si="15">MAX(BS68-BU68,0)</f>
        <v>#REF!</v>
      </c>
      <c r="BW68" s="23" t="e">
        <f>IF(SUMPRODUCT($J$85:BV$85,$J68:BV68)&lt;0.5, "Pending", IF(BV68&lt;0.5, "Complete", "In Progress"))</f>
        <v>#REF!</v>
      </c>
      <c r="BX68" s="22">
        <v>0</v>
      </c>
      <c r="BY68" s="22" t="e">
        <f t="shared" ref="BY68:BY130" si="16">MAX(BV68-BX68,0)</f>
        <v>#REF!</v>
      </c>
      <c r="BZ68" s="23" t="e">
        <f>IF(SUMPRODUCT($J$85:BY$85,$J68:BY68)&lt;0.5, "Pending", IF(BY68&lt;0.5, "Complete", "In Progress"))</f>
        <v>#REF!</v>
      </c>
      <c r="CA68" s="22">
        <v>0</v>
      </c>
      <c r="CB68" s="22" t="e">
        <f t="shared" ref="CB68:CB130" si="17">MAX(BY68-CA68,0)</f>
        <v>#REF!</v>
      </c>
      <c r="CC68" s="23" t="e">
        <f>IF(SUMPRODUCT($J$85:CB$85,$J68:CB68)&lt;0.5, "Pending", IF(CB68&lt;0.5, "Complete", "In Progress"))</f>
        <v>#REF!</v>
      </c>
      <c r="CD68" s="24"/>
      <c r="CE68" s="25">
        <f>SUMPRODUCT($H$85:AY$85,$H68:AY68)</f>
        <v>43</v>
      </c>
    </row>
    <row r="69" spans="1:83" ht="13.8" customHeight="1" x14ac:dyDescent="0.25">
      <c r="A69" s="16" t="s">
        <v>103</v>
      </c>
      <c r="B69" s="16" t="s">
        <v>110</v>
      </c>
      <c r="C69" s="16" t="s">
        <v>508</v>
      </c>
      <c r="D69" s="17" t="s">
        <v>191</v>
      </c>
      <c r="E69" s="158" t="s">
        <v>364</v>
      </c>
      <c r="F69" s="158" t="s">
        <v>496</v>
      </c>
      <c r="G69" s="19"/>
      <c r="H69" s="20">
        <v>1</v>
      </c>
      <c r="I69" s="21">
        <v>6</v>
      </c>
      <c r="J69" s="21">
        <v>0</v>
      </c>
      <c r="K69" s="21">
        <v>0</v>
      </c>
      <c r="L69" s="21">
        <v>0</v>
      </c>
      <c r="M69" s="21">
        <v>0</v>
      </c>
      <c r="N69" s="21">
        <v>0</v>
      </c>
      <c r="O69" s="21">
        <v>0</v>
      </c>
      <c r="P69" s="21">
        <v>0</v>
      </c>
      <c r="Q69" s="21">
        <v>0</v>
      </c>
      <c r="R69" s="21">
        <v>0</v>
      </c>
      <c r="S69" s="21">
        <v>0</v>
      </c>
      <c r="T69" s="21">
        <v>0</v>
      </c>
      <c r="U69" s="21">
        <v>0</v>
      </c>
      <c r="V69" s="21">
        <v>0</v>
      </c>
      <c r="W69" s="21">
        <v>0</v>
      </c>
      <c r="X69" s="21">
        <v>0</v>
      </c>
      <c r="Y69" s="21">
        <v>0</v>
      </c>
      <c r="Z69" s="21">
        <v>0</v>
      </c>
      <c r="AA69" s="21">
        <v>0</v>
      </c>
      <c r="AB69" s="21">
        <v>0</v>
      </c>
      <c r="AC69" s="21">
        <v>0</v>
      </c>
      <c r="AD69" s="21">
        <v>0</v>
      </c>
      <c r="AE69" s="21">
        <v>0</v>
      </c>
      <c r="AF69" s="21">
        <v>0</v>
      </c>
      <c r="AG69" s="21">
        <v>0</v>
      </c>
      <c r="AH69" s="21">
        <v>0</v>
      </c>
      <c r="AI69" s="21">
        <v>0</v>
      </c>
      <c r="AJ69" s="21">
        <v>0</v>
      </c>
      <c r="AK69" s="21">
        <v>0</v>
      </c>
      <c r="AL69" s="21">
        <v>0</v>
      </c>
      <c r="AM69" s="21">
        <v>0</v>
      </c>
      <c r="AN69" s="21">
        <v>0</v>
      </c>
      <c r="AO69" s="21">
        <v>0</v>
      </c>
      <c r="AP69" s="21">
        <v>0</v>
      </c>
      <c r="AQ69" s="21">
        <v>0</v>
      </c>
      <c r="AR69" s="21">
        <v>0</v>
      </c>
      <c r="AS69" s="21">
        <v>0</v>
      </c>
      <c r="AT69" s="21">
        <v>0</v>
      </c>
      <c r="AU69" s="21">
        <v>0</v>
      </c>
      <c r="AV69" s="21">
        <v>0</v>
      </c>
      <c r="AW69" s="21">
        <v>0</v>
      </c>
      <c r="AX69" s="21">
        <v>0</v>
      </c>
      <c r="AY69" s="21">
        <v>0</v>
      </c>
      <c r="AZ69" s="22">
        <v>0</v>
      </c>
      <c r="BA69" s="22" t="e">
        <f>MAX(#REF!-AZ69,0)</f>
        <v>#REF!</v>
      </c>
      <c r="BB69" s="23" t="e">
        <f>IF(SUMPRODUCT($J$85:BA$85,$J69:BA69)&lt;0.5, "Pending", IF(BA69&lt;0.5, "Complete", "In Progress"))</f>
        <v>#REF!</v>
      </c>
      <c r="BC69" s="22">
        <v>0</v>
      </c>
      <c r="BD69" s="22" t="e">
        <f t="shared" si="9"/>
        <v>#REF!</v>
      </c>
      <c r="BE69" s="23" t="e">
        <f>IF(SUMPRODUCT($J$85:BD$85,$J69:BD69)&lt;0.5, "Pending", IF(BD69&lt;0.5, "Complete", "In Progress"))</f>
        <v>#REF!</v>
      </c>
      <c r="BF69" s="22">
        <v>0</v>
      </c>
      <c r="BG69" s="22" t="e">
        <f t="shared" si="10"/>
        <v>#REF!</v>
      </c>
      <c r="BH69" s="23" t="e">
        <f>IF(SUMPRODUCT($J$85:BG$85,$J69:BG69)&lt;0.5, "Pending", IF(BG69&lt;0.5, "Complete", "In Progress"))</f>
        <v>#REF!</v>
      </c>
      <c r="BI69" s="22">
        <v>0</v>
      </c>
      <c r="BJ69" s="22" t="e">
        <f t="shared" si="11"/>
        <v>#REF!</v>
      </c>
      <c r="BK69" s="23" t="e">
        <f>IF(SUMPRODUCT($J$85:BJ$85,$J69:BJ69)&lt;0.5, "Pending", IF(BJ69&lt;0.5, "Complete", "In Progress"))</f>
        <v>#REF!</v>
      </c>
      <c r="BL69" s="22">
        <v>0</v>
      </c>
      <c r="BM69" s="22" t="e">
        <f t="shared" si="12"/>
        <v>#REF!</v>
      </c>
      <c r="BN69" s="23" t="e">
        <f>IF(SUMPRODUCT($J$85:BM$85,$J69:BM69)&lt;0.5, "Pending", IF(BM69&lt;0.5, "Complete", "In Progress"))</f>
        <v>#REF!</v>
      </c>
      <c r="BO69" s="22">
        <v>0</v>
      </c>
      <c r="BP69" s="22" t="e">
        <f t="shared" si="13"/>
        <v>#REF!</v>
      </c>
      <c r="BQ69" s="23" t="e">
        <f>IF(SUMPRODUCT($J$85:BP$85,$J69:BP69)&lt;0.5, "Pending", IF(BP69&lt;0.5, "Complete", "In Progress"))</f>
        <v>#REF!</v>
      </c>
      <c r="BR69" s="22">
        <v>0</v>
      </c>
      <c r="BS69" s="22" t="e">
        <f t="shared" si="14"/>
        <v>#REF!</v>
      </c>
      <c r="BT69" s="23" t="e">
        <f>IF(SUMPRODUCT($J$85:BS$85,$J69:BS69)&lt;0.5, "Pending", IF(BS69&lt;0.5, "Complete", "In Progress"))</f>
        <v>#REF!</v>
      </c>
      <c r="BU69" s="22">
        <v>0</v>
      </c>
      <c r="BV69" s="22" t="e">
        <f t="shared" si="15"/>
        <v>#REF!</v>
      </c>
      <c r="BW69" s="23" t="e">
        <f>IF(SUMPRODUCT($J$85:BV$85,$J69:BV69)&lt;0.5, "Pending", IF(BV69&lt;0.5, "Complete", "In Progress"))</f>
        <v>#REF!</v>
      </c>
      <c r="BX69" s="22">
        <v>0</v>
      </c>
      <c r="BY69" s="22" t="e">
        <f t="shared" si="16"/>
        <v>#REF!</v>
      </c>
      <c r="BZ69" s="23" t="e">
        <f>IF(SUMPRODUCT($J$85:BY$85,$J69:BY69)&lt;0.5, "Pending", IF(BY69&lt;0.5, "Complete", "In Progress"))</f>
        <v>#REF!</v>
      </c>
      <c r="CA69" s="22">
        <v>0</v>
      </c>
      <c r="CB69" s="22" t="e">
        <f t="shared" si="17"/>
        <v>#REF!</v>
      </c>
      <c r="CC69" s="23" t="e">
        <f>IF(SUMPRODUCT($J$85:CB$85,$J69:CB69)&lt;0.5, "Pending", IF(CB69&lt;0.5, "Complete", "In Progress"))</f>
        <v>#REF!</v>
      </c>
      <c r="CD69" s="24"/>
      <c r="CE69" s="25">
        <f>SUMPRODUCT($H$85:AY$85,$H69:AY69)</f>
        <v>43</v>
      </c>
    </row>
    <row r="70" spans="1:83" ht="13.8" customHeight="1" x14ac:dyDescent="0.25">
      <c r="A70" s="16" t="s">
        <v>103</v>
      </c>
      <c r="B70" s="16" t="s">
        <v>108</v>
      </c>
      <c r="C70" s="16" t="s">
        <v>508</v>
      </c>
      <c r="D70" s="17" t="s">
        <v>192</v>
      </c>
      <c r="E70" s="158" t="s">
        <v>365</v>
      </c>
      <c r="F70" s="158" t="s">
        <v>495</v>
      </c>
      <c r="G70" s="169"/>
      <c r="H70" s="20">
        <v>1</v>
      </c>
      <c r="I70" s="21">
        <v>6</v>
      </c>
      <c r="J70" s="21">
        <v>0</v>
      </c>
      <c r="K70" s="21">
        <v>0</v>
      </c>
      <c r="L70" s="21">
        <v>0</v>
      </c>
      <c r="M70" s="21">
        <v>0</v>
      </c>
      <c r="N70" s="21">
        <v>0</v>
      </c>
      <c r="O70" s="21">
        <v>0</v>
      </c>
      <c r="P70" s="21">
        <v>0</v>
      </c>
      <c r="Q70" s="21">
        <v>0</v>
      </c>
      <c r="R70" s="21">
        <v>0</v>
      </c>
      <c r="S70" s="21">
        <v>0</v>
      </c>
      <c r="T70" s="21">
        <v>0</v>
      </c>
      <c r="U70" s="21">
        <v>0</v>
      </c>
      <c r="V70" s="21">
        <v>0</v>
      </c>
      <c r="W70" s="21">
        <v>0</v>
      </c>
      <c r="X70" s="21">
        <v>0</v>
      </c>
      <c r="Y70" s="21">
        <v>0</v>
      </c>
      <c r="Z70" s="21">
        <v>0</v>
      </c>
      <c r="AA70" s="21">
        <v>0</v>
      </c>
      <c r="AB70" s="21">
        <v>0</v>
      </c>
      <c r="AC70" s="21">
        <v>0</v>
      </c>
      <c r="AD70" s="21">
        <v>0</v>
      </c>
      <c r="AE70" s="21">
        <v>0</v>
      </c>
      <c r="AF70" s="21">
        <v>0</v>
      </c>
      <c r="AG70" s="21">
        <v>0</v>
      </c>
      <c r="AH70" s="21">
        <v>0</v>
      </c>
      <c r="AI70" s="21">
        <v>0</v>
      </c>
      <c r="AJ70" s="21">
        <v>0</v>
      </c>
      <c r="AK70" s="21">
        <v>0</v>
      </c>
      <c r="AL70" s="21">
        <v>0</v>
      </c>
      <c r="AM70" s="21">
        <v>0</v>
      </c>
      <c r="AN70" s="21">
        <v>0</v>
      </c>
      <c r="AO70" s="21">
        <v>0</v>
      </c>
      <c r="AP70" s="21">
        <v>0</v>
      </c>
      <c r="AQ70" s="21">
        <v>0</v>
      </c>
      <c r="AR70" s="21">
        <v>0</v>
      </c>
      <c r="AS70" s="21">
        <v>0</v>
      </c>
      <c r="AT70" s="21">
        <v>0</v>
      </c>
      <c r="AU70" s="21">
        <v>0</v>
      </c>
      <c r="AV70" s="21">
        <v>0</v>
      </c>
      <c r="AW70" s="21">
        <v>0</v>
      </c>
      <c r="AX70" s="21">
        <v>0</v>
      </c>
      <c r="AY70" s="21">
        <v>0</v>
      </c>
      <c r="AZ70" s="22">
        <v>0</v>
      </c>
      <c r="BA70" s="22" t="e">
        <f>MAX(#REF!-AZ70,0)</f>
        <v>#REF!</v>
      </c>
      <c r="BB70" s="23" t="e">
        <f>IF(SUMPRODUCT($J$85:BA$85,$J70:BA70)&lt;0.5, "Pending", IF(BA70&lt;0.5, "Complete", "In Progress"))</f>
        <v>#REF!</v>
      </c>
      <c r="BC70" s="22">
        <v>0</v>
      </c>
      <c r="BD70" s="22" t="e">
        <f t="shared" si="9"/>
        <v>#REF!</v>
      </c>
      <c r="BE70" s="23" t="e">
        <f>IF(SUMPRODUCT($J$85:BD$85,$J70:BD70)&lt;0.5, "Pending", IF(BD70&lt;0.5, "Complete", "In Progress"))</f>
        <v>#REF!</v>
      </c>
      <c r="BF70" s="22">
        <v>0</v>
      </c>
      <c r="BG70" s="22" t="e">
        <f t="shared" si="10"/>
        <v>#REF!</v>
      </c>
      <c r="BH70" s="23" t="e">
        <f>IF(SUMPRODUCT($J$85:BG$85,$J70:BG70)&lt;0.5, "Pending", IF(BG70&lt;0.5, "Complete", "In Progress"))</f>
        <v>#REF!</v>
      </c>
      <c r="BI70" s="22">
        <v>0</v>
      </c>
      <c r="BJ70" s="22" t="e">
        <f t="shared" si="11"/>
        <v>#REF!</v>
      </c>
      <c r="BK70" s="23" t="e">
        <f>IF(SUMPRODUCT($J$85:BJ$85,$J70:BJ70)&lt;0.5, "Pending", IF(BJ70&lt;0.5, "Complete", "In Progress"))</f>
        <v>#REF!</v>
      </c>
      <c r="BL70" s="22">
        <v>0</v>
      </c>
      <c r="BM70" s="22" t="e">
        <f t="shared" si="12"/>
        <v>#REF!</v>
      </c>
      <c r="BN70" s="23" t="e">
        <f>IF(SUMPRODUCT($J$85:BM$85,$J70:BM70)&lt;0.5, "Pending", IF(BM70&lt;0.5, "Complete", "In Progress"))</f>
        <v>#REF!</v>
      </c>
      <c r="BO70" s="22">
        <v>0</v>
      </c>
      <c r="BP70" s="22" t="e">
        <f t="shared" si="13"/>
        <v>#REF!</v>
      </c>
      <c r="BQ70" s="23" t="e">
        <f>IF(SUMPRODUCT($J$85:BP$85,$J70:BP70)&lt;0.5, "Pending", IF(BP70&lt;0.5, "Complete", "In Progress"))</f>
        <v>#REF!</v>
      </c>
      <c r="BR70" s="22">
        <v>0</v>
      </c>
      <c r="BS70" s="22" t="e">
        <f t="shared" si="14"/>
        <v>#REF!</v>
      </c>
      <c r="BT70" s="23" t="e">
        <f>IF(SUMPRODUCT($J$85:BS$85,$J70:BS70)&lt;0.5, "Pending", IF(BS70&lt;0.5, "Complete", "In Progress"))</f>
        <v>#REF!</v>
      </c>
      <c r="BU70" s="22">
        <v>0</v>
      </c>
      <c r="BV70" s="22" t="e">
        <f t="shared" si="15"/>
        <v>#REF!</v>
      </c>
      <c r="BW70" s="23" t="e">
        <f>IF(SUMPRODUCT($J$85:BV$85,$J70:BV70)&lt;0.5, "Pending", IF(BV70&lt;0.5, "Complete", "In Progress"))</f>
        <v>#REF!</v>
      </c>
      <c r="BX70" s="22">
        <v>0</v>
      </c>
      <c r="BY70" s="22" t="e">
        <f t="shared" si="16"/>
        <v>#REF!</v>
      </c>
      <c r="BZ70" s="23" t="e">
        <f>IF(SUMPRODUCT($J$85:BY$85,$J70:BY70)&lt;0.5, "Pending", IF(BY70&lt;0.5, "Complete", "In Progress"))</f>
        <v>#REF!</v>
      </c>
      <c r="CA70" s="22">
        <v>0</v>
      </c>
      <c r="CB70" s="22" t="e">
        <f t="shared" si="17"/>
        <v>#REF!</v>
      </c>
      <c r="CC70" s="23" t="e">
        <f>IF(SUMPRODUCT($J$85:CB$85,$J70:CB70)&lt;0.5, "Pending", IF(CB70&lt;0.5, "Complete", "In Progress"))</f>
        <v>#REF!</v>
      </c>
      <c r="CD70" s="24"/>
      <c r="CE70" s="25">
        <f>SUMPRODUCT($H$85:AY$85,$H70:AY70)</f>
        <v>43</v>
      </c>
    </row>
    <row r="71" spans="1:83" ht="13.8" customHeight="1" x14ac:dyDescent="0.25">
      <c r="A71" s="16" t="s">
        <v>103</v>
      </c>
      <c r="B71" s="16" t="s">
        <v>108</v>
      </c>
      <c r="C71" s="16" t="s">
        <v>508</v>
      </c>
      <c r="D71" s="17" t="s">
        <v>193</v>
      </c>
      <c r="E71" s="158" t="s">
        <v>366</v>
      </c>
      <c r="F71" s="158" t="s">
        <v>493</v>
      </c>
      <c r="G71" s="168"/>
      <c r="H71" s="20">
        <v>1</v>
      </c>
      <c r="I71" s="21">
        <v>56</v>
      </c>
      <c r="J71" s="21">
        <v>0</v>
      </c>
      <c r="K71" s="21">
        <v>0</v>
      </c>
      <c r="L71" s="21">
        <v>0</v>
      </c>
      <c r="M71" s="21">
        <v>0</v>
      </c>
      <c r="N71" s="21">
        <v>0</v>
      </c>
      <c r="O71" s="21">
        <v>0</v>
      </c>
      <c r="P71" s="21">
        <v>0</v>
      </c>
      <c r="Q71" s="21">
        <v>0</v>
      </c>
      <c r="R71" s="21">
        <v>0</v>
      </c>
      <c r="S71" s="21">
        <v>0</v>
      </c>
      <c r="T71" s="21">
        <v>0</v>
      </c>
      <c r="U71" s="21">
        <v>0</v>
      </c>
      <c r="V71" s="21">
        <v>0</v>
      </c>
      <c r="W71" s="21">
        <v>0</v>
      </c>
      <c r="X71" s="21">
        <v>0</v>
      </c>
      <c r="Y71" s="21">
        <v>0</v>
      </c>
      <c r="Z71" s="21">
        <v>0</v>
      </c>
      <c r="AA71" s="21">
        <v>0</v>
      </c>
      <c r="AB71" s="21">
        <v>0</v>
      </c>
      <c r="AC71" s="21">
        <v>0</v>
      </c>
      <c r="AD71" s="21">
        <v>0</v>
      </c>
      <c r="AE71" s="21">
        <v>0</v>
      </c>
      <c r="AF71" s="21">
        <v>0</v>
      </c>
      <c r="AG71" s="21">
        <v>0</v>
      </c>
      <c r="AH71" s="21">
        <v>0</v>
      </c>
      <c r="AI71" s="21">
        <v>0</v>
      </c>
      <c r="AJ71" s="21">
        <v>0</v>
      </c>
      <c r="AK71" s="21">
        <v>0</v>
      </c>
      <c r="AL71" s="21">
        <v>0</v>
      </c>
      <c r="AM71" s="21">
        <v>0</v>
      </c>
      <c r="AN71" s="21">
        <v>0</v>
      </c>
      <c r="AO71" s="21">
        <v>0</v>
      </c>
      <c r="AP71" s="21">
        <v>0</v>
      </c>
      <c r="AQ71" s="21">
        <v>0</v>
      </c>
      <c r="AR71" s="21">
        <v>0</v>
      </c>
      <c r="AS71" s="21">
        <v>0</v>
      </c>
      <c r="AT71" s="21">
        <v>0</v>
      </c>
      <c r="AU71" s="21">
        <v>0</v>
      </c>
      <c r="AV71" s="21">
        <v>0</v>
      </c>
      <c r="AW71" s="21">
        <v>0</v>
      </c>
      <c r="AX71" s="21">
        <v>0</v>
      </c>
      <c r="AY71" s="21">
        <v>0</v>
      </c>
      <c r="AZ71" s="22">
        <v>0</v>
      </c>
      <c r="BA71" s="22" t="e">
        <f>MAX(#REF!-AZ71,0)</f>
        <v>#REF!</v>
      </c>
      <c r="BB71" s="23" t="e">
        <f>IF(SUMPRODUCT($J$85:BA$85,$J71:BA71)&lt;0.5, "Pending", IF(BA71&lt;0.5, "Complete", "In Progress"))</f>
        <v>#REF!</v>
      </c>
      <c r="BC71" s="22">
        <v>0</v>
      </c>
      <c r="BD71" s="22" t="e">
        <f t="shared" si="9"/>
        <v>#REF!</v>
      </c>
      <c r="BE71" s="23" t="e">
        <f>IF(SUMPRODUCT($J$85:BD$85,$J71:BD71)&lt;0.5, "Pending", IF(BD71&lt;0.5, "Complete", "In Progress"))</f>
        <v>#REF!</v>
      </c>
      <c r="BF71" s="22">
        <v>0</v>
      </c>
      <c r="BG71" s="22" t="e">
        <f t="shared" si="10"/>
        <v>#REF!</v>
      </c>
      <c r="BH71" s="23" t="e">
        <f>IF(SUMPRODUCT($J$85:BG$85,$J71:BG71)&lt;0.5, "Pending", IF(BG71&lt;0.5, "Complete", "In Progress"))</f>
        <v>#REF!</v>
      </c>
      <c r="BI71" s="22">
        <v>0</v>
      </c>
      <c r="BJ71" s="22" t="e">
        <f t="shared" si="11"/>
        <v>#REF!</v>
      </c>
      <c r="BK71" s="23" t="e">
        <f>IF(SUMPRODUCT($J$85:BJ$85,$J71:BJ71)&lt;0.5, "Pending", IF(BJ71&lt;0.5, "Complete", "In Progress"))</f>
        <v>#REF!</v>
      </c>
      <c r="BL71" s="22">
        <v>0</v>
      </c>
      <c r="BM71" s="22" t="e">
        <f t="shared" si="12"/>
        <v>#REF!</v>
      </c>
      <c r="BN71" s="23" t="e">
        <f>IF(SUMPRODUCT($J$85:BM$85,$J71:BM71)&lt;0.5, "Pending", IF(BM71&lt;0.5, "Complete", "In Progress"))</f>
        <v>#REF!</v>
      </c>
      <c r="BO71" s="22">
        <v>0</v>
      </c>
      <c r="BP71" s="22" t="e">
        <f t="shared" si="13"/>
        <v>#REF!</v>
      </c>
      <c r="BQ71" s="23" t="e">
        <f>IF(SUMPRODUCT($J$85:BP$85,$J71:BP71)&lt;0.5, "Pending", IF(BP71&lt;0.5, "Complete", "In Progress"))</f>
        <v>#REF!</v>
      </c>
      <c r="BR71" s="22">
        <v>0</v>
      </c>
      <c r="BS71" s="22" t="e">
        <f t="shared" si="14"/>
        <v>#REF!</v>
      </c>
      <c r="BT71" s="23" t="e">
        <f>IF(SUMPRODUCT($J$85:BS$85,$J71:BS71)&lt;0.5, "Pending", IF(BS71&lt;0.5, "Complete", "In Progress"))</f>
        <v>#REF!</v>
      </c>
      <c r="BU71" s="22">
        <v>0</v>
      </c>
      <c r="BV71" s="22" t="e">
        <f t="shared" si="15"/>
        <v>#REF!</v>
      </c>
      <c r="BW71" s="23" t="e">
        <f>IF(SUMPRODUCT($J$85:BV$85,$J71:BV71)&lt;0.5, "Pending", IF(BV71&lt;0.5, "Complete", "In Progress"))</f>
        <v>#REF!</v>
      </c>
      <c r="BX71" s="22">
        <v>0</v>
      </c>
      <c r="BY71" s="22" t="e">
        <f t="shared" si="16"/>
        <v>#REF!</v>
      </c>
      <c r="BZ71" s="23" t="e">
        <f>IF(SUMPRODUCT($J$85:BY$85,$J71:BY71)&lt;0.5, "Pending", IF(BY71&lt;0.5, "Complete", "In Progress"))</f>
        <v>#REF!</v>
      </c>
      <c r="CA71" s="22">
        <v>0</v>
      </c>
      <c r="CB71" s="22" t="e">
        <f t="shared" si="17"/>
        <v>#REF!</v>
      </c>
      <c r="CC71" s="23" t="e">
        <f>IF(SUMPRODUCT($J$85:CB$85,$J71:CB71)&lt;0.5, "Pending", IF(CB71&lt;0.5, "Complete", "In Progress"))</f>
        <v>#REF!</v>
      </c>
      <c r="CD71" s="24"/>
      <c r="CE71" s="25">
        <f>SUMPRODUCT($H$85:AY$85,$H71:AY71)</f>
        <v>393</v>
      </c>
    </row>
    <row r="72" spans="1:83" ht="13.8" customHeight="1" x14ac:dyDescent="0.25">
      <c r="A72" s="16" t="s">
        <v>103</v>
      </c>
      <c r="B72" s="16" t="s">
        <v>108</v>
      </c>
      <c r="C72" s="16" t="s">
        <v>508</v>
      </c>
      <c r="D72" s="17" t="s">
        <v>194</v>
      </c>
      <c r="E72" s="158" t="s">
        <v>367</v>
      </c>
      <c r="F72" s="158" t="s">
        <v>494</v>
      </c>
      <c r="G72" s="19"/>
      <c r="H72" s="20">
        <v>1</v>
      </c>
      <c r="I72" s="21">
        <v>6</v>
      </c>
      <c r="J72" s="21">
        <v>0</v>
      </c>
      <c r="K72" s="21">
        <v>0</v>
      </c>
      <c r="L72" s="21">
        <v>0</v>
      </c>
      <c r="M72" s="21">
        <v>0</v>
      </c>
      <c r="N72" s="21">
        <v>0</v>
      </c>
      <c r="O72" s="21">
        <v>0</v>
      </c>
      <c r="P72" s="21">
        <v>0</v>
      </c>
      <c r="Q72" s="21">
        <v>0</v>
      </c>
      <c r="R72" s="21">
        <v>0</v>
      </c>
      <c r="S72" s="21">
        <v>0</v>
      </c>
      <c r="T72" s="21">
        <v>0</v>
      </c>
      <c r="U72" s="21">
        <v>0</v>
      </c>
      <c r="V72" s="21">
        <v>0</v>
      </c>
      <c r="W72" s="21">
        <v>0</v>
      </c>
      <c r="X72" s="21">
        <v>0</v>
      </c>
      <c r="Y72" s="21">
        <v>0</v>
      </c>
      <c r="Z72" s="21">
        <v>0</v>
      </c>
      <c r="AA72" s="21">
        <v>0</v>
      </c>
      <c r="AB72" s="21">
        <v>0</v>
      </c>
      <c r="AC72" s="21">
        <v>0</v>
      </c>
      <c r="AD72" s="21">
        <v>0</v>
      </c>
      <c r="AE72" s="21">
        <v>0</v>
      </c>
      <c r="AF72" s="21">
        <v>0</v>
      </c>
      <c r="AG72" s="21">
        <v>0</v>
      </c>
      <c r="AH72" s="21">
        <v>0</v>
      </c>
      <c r="AI72" s="21">
        <v>0</v>
      </c>
      <c r="AJ72" s="21">
        <v>0</v>
      </c>
      <c r="AK72" s="21">
        <v>0</v>
      </c>
      <c r="AL72" s="21">
        <v>0</v>
      </c>
      <c r="AM72" s="21">
        <v>0</v>
      </c>
      <c r="AN72" s="21">
        <v>0</v>
      </c>
      <c r="AO72" s="21">
        <v>0</v>
      </c>
      <c r="AP72" s="21">
        <v>0</v>
      </c>
      <c r="AQ72" s="21">
        <v>0</v>
      </c>
      <c r="AR72" s="21">
        <v>0</v>
      </c>
      <c r="AS72" s="21">
        <v>0</v>
      </c>
      <c r="AT72" s="21">
        <v>0</v>
      </c>
      <c r="AU72" s="21">
        <v>0</v>
      </c>
      <c r="AV72" s="21">
        <v>0</v>
      </c>
      <c r="AW72" s="21">
        <v>0</v>
      </c>
      <c r="AX72" s="21">
        <v>0</v>
      </c>
      <c r="AY72" s="21">
        <v>0</v>
      </c>
      <c r="AZ72" s="22">
        <v>0</v>
      </c>
      <c r="BA72" s="22" t="e">
        <f>MAX(#REF!-AZ72,0)</f>
        <v>#REF!</v>
      </c>
      <c r="BB72" s="23" t="e">
        <f>IF(SUMPRODUCT($J$85:BA$85,$J72:BA72)&lt;0.5, "Pending", IF(BA72&lt;0.5, "Complete", "In Progress"))</f>
        <v>#REF!</v>
      </c>
      <c r="BC72" s="22">
        <v>0</v>
      </c>
      <c r="BD72" s="22" t="e">
        <f t="shared" si="9"/>
        <v>#REF!</v>
      </c>
      <c r="BE72" s="23" t="e">
        <f>IF(SUMPRODUCT($J$85:BD$85,$J72:BD72)&lt;0.5, "Pending", IF(BD72&lt;0.5, "Complete", "In Progress"))</f>
        <v>#REF!</v>
      </c>
      <c r="BF72" s="22">
        <v>0</v>
      </c>
      <c r="BG72" s="22" t="e">
        <f t="shared" si="10"/>
        <v>#REF!</v>
      </c>
      <c r="BH72" s="23" t="e">
        <f>IF(SUMPRODUCT($J$85:BG$85,$J72:BG72)&lt;0.5, "Pending", IF(BG72&lt;0.5, "Complete", "In Progress"))</f>
        <v>#REF!</v>
      </c>
      <c r="BI72" s="22">
        <v>0</v>
      </c>
      <c r="BJ72" s="22" t="e">
        <f t="shared" si="11"/>
        <v>#REF!</v>
      </c>
      <c r="BK72" s="23" t="e">
        <f>IF(SUMPRODUCT($J$85:BJ$85,$J72:BJ72)&lt;0.5, "Pending", IF(BJ72&lt;0.5, "Complete", "In Progress"))</f>
        <v>#REF!</v>
      </c>
      <c r="BL72" s="22">
        <v>0</v>
      </c>
      <c r="BM72" s="22" t="e">
        <f t="shared" si="12"/>
        <v>#REF!</v>
      </c>
      <c r="BN72" s="23" t="e">
        <f>IF(SUMPRODUCT($J$85:BM$85,$J72:BM72)&lt;0.5, "Pending", IF(BM72&lt;0.5, "Complete", "In Progress"))</f>
        <v>#REF!</v>
      </c>
      <c r="BO72" s="22">
        <v>0</v>
      </c>
      <c r="BP72" s="22" t="e">
        <f t="shared" si="13"/>
        <v>#REF!</v>
      </c>
      <c r="BQ72" s="23" t="e">
        <f>IF(SUMPRODUCT($J$85:BP$85,$J72:BP72)&lt;0.5, "Pending", IF(BP72&lt;0.5, "Complete", "In Progress"))</f>
        <v>#REF!</v>
      </c>
      <c r="BR72" s="22">
        <v>0</v>
      </c>
      <c r="BS72" s="22" t="e">
        <f t="shared" si="14"/>
        <v>#REF!</v>
      </c>
      <c r="BT72" s="23" t="e">
        <f>IF(SUMPRODUCT($J$85:BS$85,$J72:BS72)&lt;0.5, "Pending", IF(BS72&lt;0.5, "Complete", "In Progress"))</f>
        <v>#REF!</v>
      </c>
      <c r="BU72" s="22">
        <v>0</v>
      </c>
      <c r="BV72" s="22" t="e">
        <f t="shared" si="15"/>
        <v>#REF!</v>
      </c>
      <c r="BW72" s="23" t="e">
        <f>IF(SUMPRODUCT($J$85:BV$85,$J72:BV72)&lt;0.5, "Pending", IF(BV72&lt;0.5, "Complete", "In Progress"))</f>
        <v>#REF!</v>
      </c>
      <c r="BX72" s="22">
        <v>0</v>
      </c>
      <c r="BY72" s="22" t="e">
        <f t="shared" si="16"/>
        <v>#REF!</v>
      </c>
      <c r="BZ72" s="23" t="e">
        <f>IF(SUMPRODUCT($J$85:BY$85,$J72:BY72)&lt;0.5, "Pending", IF(BY72&lt;0.5, "Complete", "In Progress"))</f>
        <v>#REF!</v>
      </c>
      <c r="CA72" s="22">
        <v>0</v>
      </c>
      <c r="CB72" s="22" t="e">
        <f t="shared" si="17"/>
        <v>#REF!</v>
      </c>
      <c r="CC72" s="23" t="e">
        <f>IF(SUMPRODUCT($J$85:CB$85,$J72:CB72)&lt;0.5, "Pending", IF(CB72&lt;0.5, "Complete", "In Progress"))</f>
        <v>#REF!</v>
      </c>
      <c r="CD72" s="24"/>
      <c r="CE72" s="25">
        <f>SUMPRODUCT($H$85:AY$85,$H72:AY72)</f>
        <v>43</v>
      </c>
    </row>
    <row r="73" spans="1:83" ht="13.8" customHeight="1" x14ac:dyDescent="0.25">
      <c r="A73" s="16" t="s">
        <v>103</v>
      </c>
      <c r="B73" s="16" t="s">
        <v>108</v>
      </c>
      <c r="C73" s="16" t="s">
        <v>508</v>
      </c>
      <c r="D73" s="17" t="s">
        <v>195</v>
      </c>
      <c r="E73" s="158" t="s">
        <v>368</v>
      </c>
      <c r="F73" s="158" t="s">
        <v>497</v>
      </c>
      <c r="G73" s="19"/>
      <c r="H73" s="20">
        <v>1</v>
      </c>
      <c r="I73" s="21">
        <v>6</v>
      </c>
      <c r="J73" s="21">
        <v>0</v>
      </c>
      <c r="K73" s="21">
        <v>0</v>
      </c>
      <c r="L73" s="21">
        <v>0</v>
      </c>
      <c r="M73" s="21">
        <v>0</v>
      </c>
      <c r="N73" s="21">
        <v>0</v>
      </c>
      <c r="O73" s="21">
        <v>0</v>
      </c>
      <c r="P73" s="21">
        <v>0</v>
      </c>
      <c r="Q73" s="21">
        <v>0</v>
      </c>
      <c r="R73" s="21">
        <v>0</v>
      </c>
      <c r="S73" s="21">
        <v>0</v>
      </c>
      <c r="T73" s="21">
        <v>0</v>
      </c>
      <c r="U73" s="21">
        <v>0</v>
      </c>
      <c r="V73" s="21">
        <v>0</v>
      </c>
      <c r="W73" s="21">
        <v>0</v>
      </c>
      <c r="X73" s="21">
        <v>0</v>
      </c>
      <c r="Y73" s="21">
        <v>0</v>
      </c>
      <c r="Z73" s="21">
        <v>0</v>
      </c>
      <c r="AA73" s="21">
        <v>0</v>
      </c>
      <c r="AB73" s="21">
        <v>0</v>
      </c>
      <c r="AC73" s="21">
        <v>0</v>
      </c>
      <c r="AD73" s="21">
        <v>0</v>
      </c>
      <c r="AE73" s="21">
        <v>0</v>
      </c>
      <c r="AF73" s="21">
        <v>0</v>
      </c>
      <c r="AG73" s="21">
        <v>0</v>
      </c>
      <c r="AH73" s="21">
        <v>0</v>
      </c>
      <c r="AI73" s="21">
        <v>0</v>
      </c>
      <c r="AJ73" s="21">
        <v>0</v>
      </c>
      <c r="AK73" s="21">
        <v>0</v>
      </c>
      <c r="AL73" s="21">
        <v>0</v>
      </c>
      <c r="AM73" s="21">
        <v>0</v>
      </c>
      <c r="AN73" s="21">
        <v>0</v>
      </c>
      <c r="AO73" s="21">
        <v>0</v>
      </c>
      <c r="AP73" s="21">
        <v>0</v>
      </c>
      <c r="AQ73" s="21">
        <v>0</v>
      </c>
      <c r="AR73" s="21">
        <v>0</v>
      </c>
      <c r="AS73" s="21">
        <v>0</v>
      </c>
      <c r="AT73" s="21">
        <v>0</v>
      </c>
      <c r="AU73" s="21">
        <v>0</v>
      </c>
      <c r="AV73" s="21">
        <v>0</v>
      </c>
      <c r="AW73" s="21">
        <v>0</v>
      </c>
      <c r="AX73" s="21">
        <v>0</v>
      </c>
      <c r="AY73" s="21">
        <v>0</v>
      </c>
      <c r="AZ73" s="22">
        <v>0</v>
      </c>
      <c r="BA73" s="22" t="e">
        <f>MAX(#REF!-AZ73,0)</f>
        <v>#REF!</v>
      </c>
      <c r="BB73" s="23" t="e">
        <f>IF(SUMPRODUCT($J$85:BA$85,$J73:BA73)&lt;0.5, "Pending", IF(BA73&lt;0.5, "Complete", "In Progress"))</f>
        <v>#REF!</v>
      </c>
      <c r="BC73" s="22">
        <v>0</v>
      </c>
      <c r="BD73" s="22" t="e">
        <f t="shared" si="9"/>
        <v>#REF!</v>
      </c>
      <c r="BE73" s="23" t="e">
        <f>IF(SUMPRODUCT($J$85:BD$85,$J73:BD73)&lt;0.5, "Pending", IF(BD73&lt;0.5, "Complete", "In Progress"))</f>
        <v>#REF!</v>
      </c>
      <c r="BF73" s="22">
        <v>0</v>
      </c>
      <c r="BG73" s="22" t="e">
        <f t="shared" si="10"/>
        <v>#REF!</v>
      </c>
      <c r="BH73" s="23" t="e">
        <f>IF(SUMPRODUCT($J$85:BG$85,$J73:BG73)&lt;0.5, "Pending", IF(BG73&lt;0.5, "Complete", "In Progress"))</f>
        <v>#REF!</v>
      </c>
      <c r="BI73" s="22">
        <v>0</v>
      </c>
      <c r="BJ73" s="22" t="e">
        <f t="shared" si="11"/>
        <v>#REF!</v>
      </c>
      <c r="BK73" s="23" t="e">
        <f>IF(SUMPRODUCT($J$85:BJ$85,$J73:BJ73)&lt;0.5, "Pending", IF(BJ73&lt;0.5, "Complete", "In Progress"))</f>
        <v>#REF!</v>
      </c>
      <c r="BL73" s="22">
        <v>0</v>
      </c>
      <c r="BM73" s="22" t="e">
        <f t="shared" si="12"/>
        <v>#REF!</v>
      </c>
      <c r="BN73" s="23" t="e">
        <f>IF(SUMPRODUCT($J$85:BM$85,$J73:BM73)&lt;0.5, "Pending", IF(BM73&lt;0.5, "Complete", "In Progress"))</f>
        <v>#REF!</v>
      </c>
      <c r="BO73" s="22">
        <v>0</v>
      </c>
      <c r="BP73" s="22" t="e">
        <f t="shared" si="13"/>
        <v>#REF!</v>
      </c>
      <c r="BQ73" s="23" t="e">
        <f>IF(SUMPRODUCT($J$85:BP$85,$J73:BP73)&lt;0.5, "Pending", IF(BP73&lt;0.5, "Complete", "In Progress"))</f>
        <v>#REF!</v>
      </c>
      <c r="BR73" s="22">
        <v>0</v>
      </c>
      <c r="BS73" s="22" t="e">
        <f t="shared" si="14"/>
        <v>#REF!</v>
      </c>
      <c r="BT73" s="23" t="e">
        <f>IF(SUMPRODUCT($J$85:BS$85,$J73:BS73)&lt;0.5, "Pending", IF(BS73&lt;0.5, "Complete", "In Progress"))</f>
        <v>#REF!</v>
      </c>
      <c r="BU73" s="22">
        <v>0</v>
      </c>
      <c r="BV73" s="22" t="e">
        <f t="shared" si="15"/>
        <v>#REF!</v>
      </c>
      <c r="BW73" s="23" t="e">
        <f>IF(SUMPRODUCT($J$85:BV$85,$J73:BV73)&lt;0.5, "Pending", IF(BV73&lt;0.5, "Complete", "In Progress"))</f>
        <v>#REF!</v>
      </c>
      <c r="BX73" s="22">
        <v>0</v>
      </c>
      <c r="BY73" s="22" t="e">
        <f t="shared" si="16"/>
        <v>#REF!</v>
      </c>
      <c r="BZ73" s="23" t="e">
        <f>IF(SUMPRODUCT($J$85:BY$85,$J73:BY73)&lt;0.5, "Pending", IF(BY73&lt;0.5, "Complete", "In Progress"))</f>
        <v>#REF!</v>
      </c>
      <c r="CA73" s="22">
        <v>0</v>
      </c>
      <c r="CB73" s="22" t="e">
        <f t="shared" si="17"/>
        <v>#REF!</v>
      </c>
      <c r="CC73" s="23" t="e">
        <f>IF(SUMPRODUCT($J$85:CB$85,$J73:CB73)&lt;0.5, "Pending", IF(CB73&lt;0.5, "Complete", "In Progress"))</f>
        <v>#REF!</v>
      </c>
      <c r="CD73" s="24"/>
      <c r="CE73" s="25">
        <f>SUMPRODUCT($H$85:AY$85,$H73:AY73)</f>
        <v>43</v>
      </c>
    </row>
    <row r="74" spans="1:83" ht="13.8" customHeight="1" x14ac:dyDescent="0.25">
      <c r="A74" s="16" t="s">
        <v>103</v>
      </c>
      <c r="B74" s="16" t="s">
        <v>108</v>
      </c>
      <c r="C74" s="16" t="s">
        <v>508</v>
      </c>
      <c r="D74" s="17" t="s">
        <v>196</v>
      </c>
      <c r="E74" s="158" t="s">
        <v>369</v>
      </c>
      <c r="F74" s="158" t="s">
        <v>498</v>
      </c>
      <c r="G74" s="19"/>
      <c r="H74" s="20">
        <v>1</v>
      </c>
      <c r="I74" s="21">
        <v>6</v>
      </c>
      <c r="J74" s="21">
        <v>0</v>
      </c>
      <c r="K74" s="21">
        <v>0</v>
      </c>
      <c r="L74" s="21">
        <v>0</v>
      </c>
      <c r="M74" s="21">
        <v>0</v>
      </c>
      <c r="N74" s="21">
        <v>0</v>
      </c>
      <c r="O74" s="21">
        <v>0</v>
      </c>
      <c r="P74" s="21">
        <v>0</v>
      </c>
      <c r="Q74" s="21">
        <v>0</v>
      </c>
      <c r="R74" s="21">
        <v>0</v>
      </c>
      <c r="S74" s="21">
        <v>0</v>
      </c>
      <c r="T74" s="21">
        <v>0</v>
      </c>
      <c r="U74" s="21">
        <v>0</v>
      </c>
      <c r="V74" s="21">
        <v>0</v>
      </c>
      <c r="W74" s="21">
        <v>0</v>
      </c>
      <c r="X74" s="21">
        <v>0</v>
      </c>
      <c r="Y74" s="21">
        <v>0</v>
      </c>
      <c r="Z74" s="21">
        <v>0</v>
      </c>
      <c r="AA74" s="21">
        <v>0</v>
      </c>
      <c r="AB74" s="21">
        <v>0</v>
      </c>
      <c r="AC74" s="21">
        <v>0</v>
      </c>
      <c r="AD74" s="21">
        <v>0</v>
      </c>
      <c r="AE74" s="21">
        <v>0</v>
      </c>
      <c r="AF74" s="21">
        <v>0</v>
      </c>
      <c r="AG74" s="21">
        <v>0</v>
      </c>
      <c r="AH74" s="21">
        <v>0</v>
      </c>
      <c r="AI74" s="21">
        <v>0</v>
      </c>
      <c r="AJ74" s="21">
        <v>0</v>
      </c>
      <c r="AK74" s="21">
        <v>0</v>
      </c>
      <c r="AL74" s="21">
        <v>0</v>
      </c>
      <c r="AM74" s="21">
        <v>0</v>
      </c>
      <c r="AN74" s="21">
        <v>0</v>
      </c>
      <c r="AO74" s="21">
        <v>0</v>
      </c>
      <c r="AP74" s="21">
        <v>0</v>
      </c>
      <c r="AQ74" s="21">
        <v>0</v>
      </c>
      <c r="AR74" s="21">
        <v>0</v>
      </c>
      <c r="AS74" s="21">
        <v>0</v>
      </c>
      <c r="AT74" s="21">
        <v>0</v>
      </c>
      <c r="AU74" s="21">
        <v>0</v>
      </c>
      <c r="AV74" s="21">
        <v>0</v>
      </c>
      <c r="AW74" s="21">
        <v>0</v>
      </c>
      <c r="AX74" s="21">
        <v>0</v>
      </c>
      <c r="AY74" s="21">
        <v>0</v>
      </c>
      <c r="AZ74" s="22">
        <v>0</v>
      </c>
      <c r="BA74" s="22" t="e">
        <f>MAX(#REF!-AZ74,0)</f>
        <v>#REF!</v>
      </c>
      <c r="BB74" s="23" t="e">
        <f>IF(SUMPRODUCT($J$85:BA$85,$J74:BA74)&lt;0.5, "Pending", IF(BA74&lt;0.5, "Complete", "In Progress"))</f>
        <v>#REF!</v>
      </c>
      <c r="BC74" s="22">
        <v>0</v>
      </c>
      <c r="BD74" s="22" t="e">
        <f t="shared" si="9"/>
        <v>#REF!</v>
      </c>
      <c r="BE74" s="23" t="e">
        <f>IF(SUMPRODUCT($J$85:BD$85,$J74:BD74)&lt;0.5, "Pending", IF(BD74&lt;0.5, "Complete", "In Progress"))</f>
        <v>#REF!</v>
      </c>
      <c r="BF74" s="22">
        <v>0</v>
      </c>
      <c r="BG74" s="22" t="e">
        <f t="shared" si="10"/>
        <v>#REF!</v>
      </c>
      <c r="BH74" s="23" t="e">
        <f>IF(SUMPRODUCT($J$85:BG$85,$J74:BG74)&lt;0.5, "Pending", IF(BG74&lt;0.5, "Complete", "In Progress"))</f>
        <v>#REF!</v>
      </c>
      <c r="BI74" s="22">
        <v>0</v>
      </c>
      <c r="BJ74" s="22" t="e">
        <f t="shared" si="11"/>
        <v>#REF!</v>
      </c>
      <c r="BK74" s="23" t="e">
        <f>IF(SUMPRODUCT($J$85:BJ$85,$J74:BJ74)&lt;0.5, "Pending", IF(BJ74&lt;0.5, "Complete", "In Progress"))</f>
        <v>#REF!</v>
      </c>
      <c r="BL74" s="22">
        <v>0</v>
      </c>
      <c r="BM74" s="22" t="e">
        <f t="shared" si="12"/>
        <v>#REF!</v>
      </c>
      <c r="BN74" s="23" t="e">
        <f>IF(SUMPRODUCT($J$85:BM$85,$J74:BM74)&lt;0.5, "Pending", IF(BM74&lt;0.5, "Complete", "In Progress"))</f>
        <v>#REF!</v>
      </c>
      <c r="BO74" s="22">
        <v>0</v>
      </c>
      <c r="BP74" s="22" t="e">
        <f t="shared" si="13"/>
        <v>#REF!</v>
      </c>
      <c r="BQ74" s="23" t="e">
        <f>IF(SUMPRODUCT($J$85:BP$85,$J74:BP74)&lt;0.5, "Pending", IF(BP74&lt;0.5, "Complete", "In Progress"))</f>
        <v>#REF!</v>
      </c>
      <c r="BR74" s="22">
        <v>0</v>
      </c>
      <c r="BS74" s="22" t="e">
        <f t="shared" si="14"/>
        <v>#REF!</v>
      </c>
      <c r="BT74" s="23" t="e">
        <f>IF(SUMPRODUCT($J$85:BS$85,$J74:BS74)&lt;0.5, "Pending", IF(BS74&lt;0.5, "Complete", "In Progress"))</f>
        <v>#REF!</v>
      </c>
      <c r="BU74" s="22">
        <v>0</v>
      </c>
      <c r="BV74" s="22" t="e">
        <f t="shared" si="15"/>
        <v>#REF!</v>
      </c>
      <c r="BW74" s="23" t="e">
        <f>IF(SUMPRODUCT($J$85:BV$85,$J74:BV74)&lt;0.5, "Pending", IF(BV74&lt;0.5, "Complete", "In Progress"))</f>
        <v>#REF!</v>
      </c>
      <c r="BX74" s="22">
        <v>0</v>
      </c>
      <c r="BY74" s="22" t="e">
        <f t="shared" si="16"/>
        <v>#REF!</v>
      </c>
      <c r="BZ74" s="23" t="e">
        <f>IF(SUMPRODUCT($J$85:BY$85,$J74:BY74)&lt;0.5, "Pending", IF(BY74&lt;0.5, "Complete", "In Progress"))</f>
        <v>#REF!</v>
      </c>
      <c r="CA74" s="22">
        <v>0</v>
      </c>
      <c r="CB74" s="22" t="e">
        <f t="shared" si="17"/>
        <v>#REF!</v>
      </c>
      <c r="CC74" s="23" t="e">
        <f>IF(SUMPRODUCT($J$85:CB$85,$J74:CB74)&lt;0.5, "Pending", IF(CB74&lt;0.5, "Complete", "In Progress"))</f>
        <v>#REF!</v>
      </c>
      <c r="CD74" s="24"/>
      <c r="CE74" s="25">
        <f>SUMPRODUCT($H$85:AY$85,$H74:AY74)</f>
        <v>43</v>
      </c>
    </row>
    <row r="75" spans="1:83" ht="13.8" customHeight="1" x14ac:dyDescent="0.25">
      <c r="A75" s="16" t="s">
        <v>103</v>
      </c>
      <c r="B75" s="16" t="s">
        <v>118</v>
      </c>
      <c r="C75" s="16" t="s">
        <v>508</v>
      </c>
      <c r="D75" s="17" t="s">
        <v>196</v>
      </c>
      <c r="E75" s="158" t="s">
        <v>370</v>
      </c>
      <c r="F75" s="158" t="s">
        <v>496</v>
      </c>
      <c r="G75" s="19"/>
      <c r="H75" s="20">
        <v>1</v>
      </c>
      <c r="I75" s="21">
        <v>6</v>
      </c>
      <c r="J75" s="21">
        <v>0</v>
      </c>
      <c r="K75" s="21">
        <v>0</v>
      </c>
      <c r="L75" s="21">
        <v>0</v>
      </c>
      <c r="M75" s="21">
        <v>0</v>
      </c>
      <c r="N75" s="21">
        <v>0</v>
      </c>
      <c r="O75" s="21">
        <v>0</v>
      </c>
      <c r="P75" s="21">
        <v>0</v>
      </c>
      <c r="Q75" s="21">
        <v>0</v>
      </c>
      <c r="R75" s="21">
        <v>0</v>
      </c>
      <c r="S75" s="21">
        <v>0</v>
      </c>
      <c r="T75" s="21">
        <v>0</v>
      </c>
      <c r="U75" s="21">
        <v>0</v>
      </c>
      <c r="V75" s="21">
        <v>0</v>
      </c>
      <c r="W75" s="21">
        <v>0</v>
      </c>
      <c r="X75" s="21">
        <v>0</v>
      </c>
      <c r="Y75" s="21">
        <v>0</v>
      </c>
      <c r="Z75" s="21">
        <v>0</v>
      </c>
      <c r="AA75" s="21">
        <v>0</v>
      </c>
      <c r="AB75" s="21">
        <v>0</v>
      </c>
      <c r="AC75" s="21">
        <v>0</v>
      </c>
      <c r="AD75" s="21">
        <v>0</v>
      </c>
      <c r="AE75" s="21">
        <v>0</v>
      </c>
      <c r="AF75" s="21">
        <v>0</v>
      </c>
      <c r="AG75" s="21">
        <v>0</v>
      </c>
      <c r="AH75" s="21">
        <v>0</v>
      </c>
      <c r="AI75" s="21">
        <v>0</v>
      </c>
      <c r="AJ75" s="21">
        <v>0</v>
      </c>
      <c r="AK75" s="21">
        <v>0</v>
      </c>
      <c r="AL75" s="21">
        <v>0</v>
      </c>
      <c r="AM75" s="21">
        <v>0</v>
      </c>
      <c r="AN75" s="21">
        <v>0</v>
      </c>
      <c r="AO75" s="21">
        <v>0</v>
      </c>
      <c r="AP75" s="21">
        <v>0</v>
      </c>
      <c r="AQ75" s="21">
        <v>0</v>
      </c>
      <c r="AR75" s="21">
        <v>0</v>
      </c>
      <c r="AS75" s="21">
        <v>0</v>
      </c>
      <c r="AT75" s="21">
        <v>0</v>
      </c>
      <c r="AU75" s="21">
        <v>0</v>
      </c>
      <c r="AV75" s="21">
        <v>0</v>
      </c>
      <c r="AW75" s="21">
        <v>0</v>
      </c>
      <c r="AX75" s="21">
        <v>0</v>
      </c>
      <c r="AY75" s="21">
        <v>0</v>
      </c>
      <c r="AZ75" s="22">
        <v>0</v>
      </c>
      <c r="BA75" s="22" t="e">
        <f>MAX(#REF!-AZ75,0)</f>
        <v>#REF!</v>
      </c>
      <c r="BB75" s="23" t="e">
        <f>IF(SUMPRODUCT($J$85:BA$85,$J75:BA75)&lt;0.5, "Pending", IF(BA75&lt;0.5, "Complete", "In Progress"))</f>
        <v>#REF!</v>
      </c>
      <c r="BC75" s="22">
        <v>0</v>
      </c>
      <c r="BD75" s="22" t="e">
        <f t="shared" si="9"/>
        <v>#REF!</v>
      </c>
      <c r="BE75" s="23" t="e">
        <f>IF(SUMPRODUCT($J$85:BD$85,$J75:BD75)&lt;0.5, "Pending", IF(BD75&lt;0.5, "Complete", "In Progress"))</f>
        <v>#REF!</v>
      </c>
      <c r="BF75" s="22">
        <v>0</v>
      </c>
      <c r="BG75" s="22" t="e">
        <f t="shared" si="10"/>
        <v>#REF!</v>
      </c>
      <c r="BH75" s="23" t="e">
        <f>IF(SUMPRODUCT($J$85:BG$85,$J75:BG75)&lt;0.5, "Pending", IF(BG75&lt;0.5, "Complete", "In Progress"))</f>
        <v>#REF!</v>
      </c>
      <c r="BI75" s="22">
        <v>0</v>
      </c>
      <c r="BJ75" s="22" t="e">
        <f t="shared" si="11"/>
        <v>#REF!</v>
      </c>
      <c r="BK75" s="23" t="e">
        <f>IF(SUMPRODUCT($J$85:BJ$85,$J75:BJ75)&lt;0.5, "Pending", IF(BJ75&lt;0.5, "Complete", "In Progress"))</f>
        <v>#REF!</v>
      </c>
      <c r="BL75" s="22">
        <v>0</v>
      </c>
      <c r="BM75" s="22" t="e">
        <f t="shared" si="12"/>
        <v>#REF!</v>
      </c>
      <c r="BN75" s="23" t="e">
        <f>IF(SUMPRODUCT($J$85:BM$85,$J75:BM75)&lt;0.5, "Pending", IF(BM75&lt;0.5, "Complete", "In Progress"))</f>
        <v>#REF!</v>
      </c>
      <c r="BO75" s="22">
        <v>0</v>
      </c>
      <c r="BP75" s="22" t="e">
        <f t="shared" si="13"/>
        <v>#REF!</v>
      </c>
      <c r="BQ75" s="23" t="e">
        <f>IF(SUMPRODUCT($J$85:BP$85,$J75:BP75)&lt;0.5, "Pending", IF(BP75&lt;0.5, "Complete", "In Progress"))</f>
        <v>#REF!</v>
      </c>
      <c r="BR75" s="22">
        <v>0</v>
      </c>
      <c r="BS75" s="22" t="e">
        <f t="shared" si="14"/>
        <v>#REF!</v>
      </c>
      <c r="BT75" s="23" t="e">
        <f>IF(SUMPRODUCT($J$85:BS$85,$J75:BS75)&lt;0.5, "Pending", IF(BS75&lt;0.5, "Complete", "In Progress"))</f>
        <v>#REF!</v>
      </c>
      <c r="BU75" s="22">
        <v>0</v>
      </c>
      <c r="BV75" s="22" t="e">
        <f t="shared" si="15"/>
        <v>#REF!</v>
      </c>
      <c r="BW75" s="23" t="e">
        <f>IF(SUMPRODUCT($J$85:BV$85,$J75:BV75)&lt;0.5, "Pending", IF(BV75&lt;0.5, "Complete", "In Progress"))</f>
        <v>#REF!</v>
      </c>
      <c r="BX75" s="22">
        <v>0</v>
      </c>
      <c r="BY75" s="22" t="e">
        <f t="shared" si="16"/>
        <v>#REF!</v>
      </c>
      <c r="BZ75" s="23" t="e">
        <f>IF(SUMPRODUCT($J$85:BY$85,$J75:BY75)&lt;0.5, "Pending", IF(BY75&lt;0.5, "Complete", "In Progress"))</f>
        <v>#REF!</v>
      </c>
      <c r="CA75" s="22">
        <v>0</v>
      </c>
      <c r="CB75" s="22" t="e">
        <f t="shared" si="17"/>
        <v>#REF!</v>
      </c>
      <c r="CC75" s="23" t="e">
        <f>IF(SUMPRODUCT($J$85:CB$85,$J75:CB75)&lt;0.5, "Pending", IF(CB75&lt;0.5, "Complete", "In Progress"))</f>
        <v>#REF!</v>
      </c>
      <c r="CD75" s="24"/>
      <c r="CE75" s="25">
        <f>SUMPRODUCT($H$85:AY$85,$H75:AY75)</f>
        <v>43</v>
      </c>
    </row>
    <row r="76" spans="1:83" ht="13.8" customHeight="1" x14ac:dyDescent="0.25">
      <c r="A76" s="16" t="s">
        <v>104</v>
      </c>
      <c r="B76" s="16" t="s">
        <v>108</v>
      </c>
      <c r="C76" s="16" t="s">
        <v>508</v>
      </c>
      <c r="D76" s="17" t="s">
        <v>197</v>
      </c>
      <c r="E76" s="158" t="s">
        <v>371</v>
      </c>
      <c r="F76" s="158" t="s">
        <v>495</v>
      </c>
      <c r="G76" s="19"/>
      <c r="H76" s="20">
        <v>1</v>
      </c>
      <c r="I76" s="21">
        <v>6</v>
      </c>
      <c r="J76" s="21">
        <v>0</v>
      </c>
      <c r="K76" s="21">
        <v>0</v>
      </c>
      <c r="L76" s="21">
        <v>0</v>
      </c>
      <c r="M76" s="21">
        <v>0</v>
      </c>
      <c r="N76" s="21">
        <v>0</v>
      </c>
      <c r="O76" s="21">
        <v>0</v>
      </c>
      <c r="P76" s="21">
        <v>0</v>
      </c>
      <c r="Q76" s="21">
        <v>0</v>
      </c>
      <c r="R76" s="21">
        <v>0</v>
      </c>
      <c r="S76" s="21">
        <v>0</v>
      </c>
      <c r="T76" s="21">
        <v>0</v>
      </c>
      <c r="U76" s="21">
        <v>0</v>
      </c>
      <c r="V76" s="21">
        <v>0</v>
      </c>
      <c r="W76" s="21">
        <v>0</v>
      </c>
      <c r="X76" s="21">
        <v>0</v>
      </c>
      <c r="Y76" s="21">
        <v>0</v>
      </c>
      <c r="Z76" s="21">
        <v>0</v>
      </c>
      <c r="AA76" s="21">
        <v>0</v>
      </c>
      <c r="AB76" s="21">
        <v>0</v>
      </c>
      <c r="AC76" s="21">
        <v>0</v>
      </c>
      <c r="AD76" s="21">
        <v>0</v>
      </c>
      <c r="AE76" s="21">
        <v>0</v>
      </c>
      <c r="AF76" s="21">
        <v>0</v>
      </c>
      <c r="AG76" s="21">
        <v>0</v>
      </c>
      <c r="AH76" s="21">
        <v>0</v>
      </c>
      <c r="AI76" s="21">
        <v>0</v>
      </c>
      <c r="AJ76" s="21">
        <v>0</v>
      </c>
      <c r="AK76" s="21">
        <v>0</v>
      </c>
      <c r="AL76" s="21">
        <v>0</v>
      </c>
      <c r="AM76" s="21">
        <v>0</v>
      </c>
      <c r="AN76" s="21">
        <v>0</v>
      </c>
      <c r="AO76" s="21">
        <v>0</v>
      </c>
      <c r="AP76" s="21">
        <v>0</v>
      </c>
      <c r="AQ76" s="21">
        <v>0</v>
      </c>
      <c r="AR76" s="21">
        <v>0</v>
      </c>
      <c r="AS76" s="21">
        <v>0</v>
      </c>
      <c r="AT76" s="21">
        <v>0</v>
      </c>
      <c r="AU76" s="21">
        <v>0</v>
      </c>
      <c r="AV76" s="21">
        <v>0</v>
      </c>
      <c r="AW76" s="21">
        <v>0</v>
      </c>
      <c r="AX76" s="21">
        <v>0</v>
      </c>
      <c r="AY76" s="21">
        <v>0</v>
      </c>
      <c r="AZ76" s="22">
        <v>0</v>
      </c>
      <c r="BA76" s="22" t="e">
        <f>MAX(#REF!-AZ76,0)</f>
        <v>#REF!</v>
      </c>
      <c r="BB76" s="23" t="e">
        <f>IF(SUMPRODUCT($J$85:BA$85,$J76:BA76)&lt;0.5, "Pending", IF(BA76&lt;0.5, "Complete", "In Progress"))</f>
        <v>#REF!</v>
      </c>
      <c r="BC76" s="22">
        <v>0</v>
      </c>
      <c r="BD76" s="22" t="e">
        <f t="shared" si="9"/>
        <v>#REF!</v>
      </c>
      <c r="BE76" s="23" t="e">
        <f>IF(SUMPRODUCT($J$85:BD$85,$J76:BD76)&lt;0.5, "Pending", IF(BD76&lt;0.5, "Complete", "In Progress"))</f>
        <v>#REF!</v>
      </c>
      <c r="BF76" s="22">
        <v>0</v>
      </c>
      <c r="BG76" s="22" t="e">
        <f t="shared" si="10"/>
        <v>#REF!</v>
      </c>
      <c r="BH76" s="23" t="e">
        <f>IF(SUMPRODUCT($J$85:BG$85,$J76:BG76)&lt;0.5, "Pending", IF(BG76&lt;0.5, "Complete", "In Progress"))</f>
        <v>#REF!</v>
      </c>
      <c r="BI76" s="22">
        <v>0</v>
      </c>
      <c r="BJ76" s="22" t="e">
        <f t="shared" si="11"/>
        <v>#REF!</v>
      </c>
      <c r="BK76" s="23" t="e">
        <f>IF(SUMPRODUCT($J$85:BJ$85,$J76:BJ76)&lt;0.5, "Pending", IF(BJ76&lt;0.5, "Complete", "In Progress"))</f>
        <v>#REF!</v>
      </c>
      <c r="BL76" s="22">
        <v>0</v>
      </c>
      <c r="BM76" s="22" t="e">
        <f t="shared" si="12"/>
        <v>#REF!</v>
      </c>
      <c r="BN76" s="23" t="e">
        <f>IF(SUMPRODUCT($J$85:BM$85,$J76:BM76)&lt;0.5, "Pending", IF(BM76&lt;0.5, "Complete", "In Progress"))</f>
        <v>#REF!</v>
      </c>
      <c r="BO76" s="22">
        <v>0</v>
      </c>
      <c r="BP76" s="22" t="e">
        <f t="shared" si="13"/>
        <v>#REF!</v>
      </c>
      <c r="BQ76" s="23" t="e">
        <f>IF(SUMPRODUCT($J$85:BP$85,$J76:BP76)&lt;0.5, "Pending", IF(BP76&lt;0.5, "Complete", "In Progress"))</f>
        <v>#REF!</v>
      </c>
      <c r="BR76" s="22">
        <v>0</v>
      </c>
      <c r="BS76" s="22" t="e">
        <f t="shared" si="14"/>
        <v>#REF!</v>
      </c>
      <c r="BT76" s="23" t="e">
        <f>IF(SUMPRODUCT($J$85:BS$85,$J76:BS76)&lt;0.5, "Pending", IF(BS76&lt;0.5, "Complete", "In Progress"))</f>
        <v>#REF!</v>
      </c>
      <c r="BU76" s="22">
        <v>0</v>
      </c>
      <c r="BV76" s="22" t="e">
        <f t="shared" si="15"/>
        <v>#REF!</v>
      </c>
      <c r="BW76" s="23" t="e">
        <f>IF(SUMPRODUCT($J$85:BV$85,$J76:BV76)&lt;0.5, "Pending", IF(BV76&lt;0.5, "Complete", "In Progress"))</f>
        <v>#REF!</v>
      </c>
      <c r="BX76" s="22">
        <v>0</v>
      </c>
      <c r="BY76" s="22" t="e">
        <f t="shared" si="16"/>
        <v>#REF!</v>
      </c>
      <c r="BZ76" s="23" t="e">
        <f>IF(SUMPRODUCT($J$85:BY$85,$J76:BY76)&lt;0.5, "Pending", IF(BY76&lt;0.5, "Complete", "In Progress"))</f>
        <v>#REF!</v>
      </c>
      <c r="CA76" s="22">
        <v>0</v>
      </c>
      <c r="CB76" s="22" t="e">
        <f t="shared" si="17"/>
        <v>#REF!</v>
      </c>
      <c r="CC76" s="23" t="e">
        <f>IF(SUMPRODUCT($J$85:CB$85,$J76:CB76)&lt;0.5, "Pending", IF(CB76&lt;0.5, "Complete", "In Progress"))</f>
        <v>#REF!</v>
      </c>
      <c r="CD76" s="24"/>
      <c r="CE76" s="25">
        <f>SUMPRODUCT($H$85:AY$85,$H76:AY76)</f>
        <v>43</v>
      </c>
    </row>
    <row r="77" spans="1:83" ht="13.8" customHeight="1" x14ac:dyDescent="0.25">
      <c r="A77" s="16" t="s">
        <v>103</v>
      </c>
      <c r="B77" s="16" t="s">
        <v>110</v>
      </c>
      <c r="C77" s="16" t="s">
        <v>508</v>
      </c>
      <c r="D77" s="17" t="s">
        <v>198</v>
      </c>
      <c r="E77" s="158" t="s">
        <v>372</v>
      </c>
      <c r="F77" s="158" t="s">
        <v>493</v>
      </c>
      <c r="G77" s="168"/>
      <c r="H77" s="20">
        <v>1</v>
      </c>
      <c r="I77" s="21">
        <v>56</v>
      </c>
      <c r="J77" s="21">
        <v>0</v>
      </c>
      <c r="K77" s="21">
        <v>0</v>
      </c>
      <c r="L77" s="21">
        <v>0</v>
      </c>
      <c r="M77" s="21">
        <v>0</v>
      </c>
      <c r="N77" s="21">
        <v>0</v>
      </c>
      <c r="O77" s="21">
        <v>0</v>
      </c>
      <c r="P77" s="21">
        <v>0</v>
      </c>
      <c r="Q77" s="21">
        <v>0</v>
      </c>
      <c r="R77" s="21">
        <v>0</v>
      </c>
      <c r="S77" s="21">
        <v>0</v>
      </c>
      <c r="T77" s="21">
        <v>0</v>
      </c>
      <c r="U77" s="21">
        <v>0</v>
      </c>
      <c r="V77" s="21">
        <v>0</v>
      </c>
      <c r="W77" s="21">
        <v>0</v>
      </c>
      <c r="X77" s="21">
        <v>0</v>
      </c>
      <c r="Y77" s="21">
        <v>0</v>
      </c>
      <c r="Z77" s="21">
        <v>0</v>
      </c>
      <c r="AA77" s="21">
        <v>0</v>
      </c>
      <c r="AB77" s="21">
        <v>0</v>
      </c>
      <c r="AC77" s="21">
        <v>0</v>
      </c>
      <c r="AD77" s="21">
        <v>0</v>
      </c>
      <c r="AE77" s="21">
        <v>0</v>
      </c>
      <c r="AF77" s="21">
        <v>0</v>
      </c>
      <c r="AG77" s="21">
        <v>0</v>
      </c>
      <c r="AH77" s="21">
        <v>0</v>
      </c>
      <c r="AI77" s="21">
        <v>0</v>
      </c>
      <c r="AJ77" s="21">
        <v>0</v>
      </c>
      <c r="AK77" s="21">
        <v>0</v>
      </c>
      <c r="AL77" s="21">
        <v>0</v>
      </c>
      <c r="AM77" s="21">
        <v>0</v>
      </c>
      <c r="AN77" s="21">
        <v>0</v>
      </c>
      <c r="AO77" s="21">
        <v>0</v>
      </c>
      <c r="AP77" s="21">
        <v>0</v>
      </c>
      <c r="AQ77" s="21">
        <v>0</v>
      </c>
      <c r="AR77" s="21">
        <v>0</v>
      </c>
      <c r="AS77" s="21">
        <v>0</v>
      </c>
      <c r="AT77" s="21">
        <v>0</v>
      </c>
      <c r="AU77" s="21">
        <v>0</v>
      </c>
      <c r="AV77" s="21">
        <v>0</v>
      </c>
      <c r="AW77" s="21">
        <v>0</v>
      </c>
      <c r="AX77" s="21">
        <v>0</v>
      </c>
      <c r="AY77" s="21">
        <v>0</v>
      </c>
      <c r="AZ77" s="22">
        <v>0</v>
      </c>
      <c r="BA77" s="22" t="e">
        <f>MAX(#REF!-AZ77,0)</f>
        <v>#REF!</v>
      </c>
      <c r="BB77" s="23" t="e">
        <f>IF(SUMPRODUCT($J$85:BA$85,$J77:BA77)&lt;0.5, "Pending", IF(BA77&lt;0.5, "Complete", "In Progress"))</f>
        <v>#REF!</v>
      </c>
      <c r="BC77" s="22">
        <v>0</v>
      </c>
      <c r="BD77" s="22" t="e">
        <f t="shared" si="9"/>
        <v>#REF!</v>
      </c>
      <c r="BE77" s="23" t="e">
        <f>IF(SUMPRODUCT($J$85:BD$85,$J77:BD77)&lt;0.5, "Pending", IF(BD77&lt;0.5, "Complete", "In Progress"))</f>
        <v>#REF!</v>
      </c>
      <c r="BF77" s="22">
        <v>0</v>
      </c>
      <c r="BG77" s="22" t="e">
        <f t="shared" si="10"/>
        <v>#REF!</v>
      </c>
      <c r="BH77" s="23" t="e">
        <f>IF(SUMPRODUCT($J$85:BG$85,$J77:BG77)&lt;0.5, "Pending", IF(BG77&lt;0.5, "Complete", "In Progress"))</f>
        <v>#REF!</v>
      </c>
      <c r="BI77" s="22">
        <v>0</v>
      </c>
      <c r="BJ77" s="22" t="e">
        <f t="shared" si="11"/>
        <v>#REF!</v>
      </c>
      <c r="BK77" s="23" t="e">
        <f>IF(SUMPRODUCT($J$85:BJ$85,$J77:BJ77)&lt;0.5, "Pending", IF(BJ77&lt;0.5, "Complete", "In Progress"))</f>
        <v>#REF!</v>
      </c>
      <c r="BL77" s="22">
        <v>0</v>
      </c>
      <c r="BM77" s="22" t="e">
        <f t="shared" si="12"/>
        <v>#REF!</v>
      </c>
      <c r="BN77" s="23" t="e">
        <f>IF(SUMPRODUCT($J$85:BM$85,$J77:BM77)&lt;0.5, "Pending", IF(BM77&lt;0.5, "Complete", "In Progress"))</f>
        <v>#REF!</v>
      </c>
      <c r="BO77" s="22">
        <v>0</v>
      </c>
      <c r="BP77" s="22" t="e">
        <f t="shared" si="13"/>
        <v>#REF!</v>
      </c>
      <c r="BQ77" s="23" t="e">
        <f>IF(SUMPRODUCT($J$85:BP$85,$J77:BP77)&lt;0.5, "Pending", IF(BP77&lt;0.5, "Complete", "In Progress"))</f>
        <v>#REF!</v>
      </c>
      <c r="BR77" s="22">
        <v>0</v>
      </c>
      <c r="BS77" s="22" t="e">
        <f t="shared" si="14"/>
        <v>#REF!</v>
      </c>
      <c r="BT77" s="23" t="e">
        <f>IF(SUMPRODUCT($J$85:BS$85,$J77:BS77)&lt;0.5, "Pending", IF(BS77&lt;0.5, "Complete", "In Progress"))</f>
        <v>#REF!</v>
      </c>
      <c r="BU77" s="22">
        <v>0</v>
      </c>
      <c r="BV77" s="22" t="e">
        <f t="shared" si="15"/>
        <v>#REF!</v>
      </c>
      <c r="BW77" s="23" t="e">
        <f>IF(SUMPRODUCT($J$85:BV$85,$J77:BV77)&lt;0.5, "Pending", IF(BV77&lt;0.5, "Complete", "In Progress"))</f>
        <v>#REF!</v>
      </c>
      <c r="BX77" s="22">
        <v>0</v>
      </c>
      <c r="BY77" s="22" t="e">
        <f t="shared" si="16"/>
        <v>#REF!</v>
      </c>
      <c r="BZ77" s="23" t="e">
        <f>IF(SUMPRODUCT($J$85:BY$85,$J77:BY77)&lt;0.5, "Pending", IF(BY77&lt;0.5, "Complete", "In Progress"))</f>
        <v>#REF!</v>
      </c>
      <c r="CA77" s="22">
        <v>0</v>
      </c>
      <c r="CB77" s="22" t="e">
        <f t="shared" si="17"/>
        <v>#REF!</v>
      </c>
      <c r="CC77" s="23" t="e">
        <f>IF(SUMPRODUCT($J$85:CB$85,$J77:CB77)&lt;0.5, "Pending", IF(CB77&lt;0.5, "Complete", "In Progress"))</f>
        <v>#REF!</v>
      </c>
      <c r="CD77" s="24"/>
      <c r="CE77" s="25">
        <f>SUMPRODUCT($H$85:AY$85,$H77:AY77)</f>
        <v>393</v>
      </c>
    </row>
    <row r="78" spans="1:83" ht="13.8" customHeight="1" x14ac:dyDescent="0.25">
      <c r="A78" s="16" t="s">
        <v>103</v>
      </c>
      <c r="B78" s="16" t="s">
        <v>117</v>
      </c>
      <c r="C78" s="16" t="s">
        <v>508</v>
      </c>
      <c r="D78" s="17" t="s">
        <v>199</v>
      </c>
      <c r="E78" s="158" t="s">
        <v>373</v>
      </c>
      <c r="F78" s="158" t="s">
        <v>494</v>
      </c>
      <c r="G78" s="19"/>
      <c r="H78" s="20">
        <v>1</v>
      </c>
      <c r="I78" s="21">
        <v>6</v>
      </c>
      <c r="J78" s="21">
        <v>0</v>
      </c>
      <c r="K78" s="21">
        <v>0</v>
      </c>
      <c r="L78" s="21">
        <v>0</v>
      </c>
      <c r="M78" s="21">
        <v>0</v>
      </c>
      <c r="N78" s="21">
        <v>0</v>
      </c>
      <c r="O78" s="21">
        <v>0</v>
      </c>
      <c r="P78" s="21">
        <v>0</v>
      </c>
      <c r="Q78" s="21">
        <v>0</v>
      </c>
      <c r="R78" s="21">
        <v>0</v>
      </c>
      <c r="S78" s="21">
        <v>0</v>
      </c>
      <c r="T78" s="21">
        <v>0</v>
      </c>
      <c r="U78" s="21">
        <v>0</v>
      </c>
      <c r="V78" s="21">
        <v>0</v>
      </c>
      <c r="W78" s="21">
        <v>0</v>
      </c>
      <c r="X78" s="21">
        <v>0</v>
      </c>
      <c r="Y78" s="21">
        <v>0</v>
      </c>
      <c r="Z78" s="21">
        <v>0</v>
      </c>
      <c r="AA78" s="21">
        <v>0</v>
      </c>
      <c r="AB78" s="21">
        <v>0</v>
      </c>
      <c r="AC78" s="21">
        <v>0</v>
      </c>
      <c r="AD78" s="21">
        <v>0</v>
      </c>
      <c r="AE78" s="21">
        <v>0</v>
      </c>
      <c r="AF78" s="21">
        <v>0</v>
      </c>
      <c r="AG78" s="21">
        <v>0</v>
      </c>
      <c r="AH78" s="21">
        <v>0</v>
      </c>
      <c r="AI78" s="21">
        <v>0</v>
      </c>
      <c r="AJ78" s="21">
        <v>0</v>
      </c>
      <c r="AK78" s="21">
        <v>0</v>
      </c>
      <c r="AL78" s="21">
        <v>0</v>
      </c>
      <c r="AM78" s="21">
        <v>0</v>
      </c>
      <c r="AN78" s="21">
        <v>0</v>
      </c>
      <c r="AO78" s="21">
        <v>0</v>
      </c>
      <c r="AP78" s="21">
        <v>0</v>
      </c>
      <c r="AQ78" s="21">
        <v>0</v>
      </c>
      <c r="AR78" s="21">
        <v>0</v>
      </c>
      <c r="AS78" s="21">
        <v>0</v>
      </c>
      <c r="AT78" s="21">
        <v>0</v>
      </c>
      <c r="AU78" s="21">
        <v>0</v>
      </c>
      <c r="AV78" s="21">
        <v>0</v>
      </c>
      <c r="AW78" s="21">
        <v>0</v>
      </c>
      <c r="AX78" s="21">
        <v>0</v>
      </c>
      <c r="AY78" s="21">
        <v>0</v>
      </c>
      <c r="AZ78" s="22">
        <v>0</v>
      </c>
      <c r="BA78" s="22" t="e">
        <f>MAX(#REF!-AZ78,0)</f>
        <v>#REF!</v>
      </c>
      <c r="BB78" s="23" t="e">
        <f>IF(SUMPRODUCT($J$85:BA$85,$J78:BA78)&lt;0.5, "Pending", IF(BA78&lt;0.5, "Complete", "In Progress"))</f>
        <v>#REF!</v>
      </c>
      <c r="BC78" s="22">
        <v>0</v>
      </c>
      <c r="BD78" s="22" t="e">
        <f t="shared" si="9"/>
        <v>#REF!</v>
      </c>
      <c r="BE78" s="23" t="e">
        <f>IF(SUMPRODUCT($J$85:BD$85,$J78:BD78)&lt;0.5, "Pending", IF(BD78&lt;0.5, "Complete", "In Progress"))</f>
        <v>#REF!</v>
      </c>
      <c r="BF78" s="22">
        <v>0</v>
      </c>
      <c r="BG78" s="22" t="e">
        <f t="shared" si="10"/>
        <v>#REF!</v>
      </c>
      <c r="BH78" s="23" t="e">
        <f>IF(SUMPRODUCT($J$85:BG$85,$J78:BG78)&lt;0.5, "Pending", IF(BG78&lt;0.5, "Complete", "In Progress"))</f>
        <v>#REF!</v>
      </c>
      <c r="BI78" s="22">
        <v>0</v>
      </c>
      <c r="BJ78" s="22" t="e">
        <f t="shared" si="11"/>
        <v>#REF!</v>
      </c>
      <c r="BK78" s="23" t="e">
        <f>IF(SUMPRODUCT($J$85:BJ$85,$J78:BJ78)&lt;0.5, "Pending", IF(BJ78&lt;0.5, "Complete", "In Progress"))</f>
        <v>#REF!</v>
      </c>
      <c r="BL78" s="22">
        <v>0</v>
      </c>
      <c r="BM78" s="22" t="e">
        <f t="shared" si="12"/>
        <v>#REF!</v>
      </c>
      <c r="BN78" s="23" t="e">
        <f>IF(SUMPRODUCT($J$85:BM$85,$J78:BM78)&lt;0.5, "Pending", IF(BM78&lt;0.5, "Complete", "In Progress"))</f>
        <v>#REF!</v>
      </c>
      <c r="BO78" s="22">
        <v>0</v>
      </c>
      <c r="BP78" s="22" t="e">
        <f t="shared" si="13"/>
        <v>#REF!</v>
      </c>
      <c r="BQ78" s="23" t="e">
        <f>IF(SUMPRODUCT($J$85:BP$85,$J78:BP78)&lt;0.5, "Pending", IF(BP78&lt;0.5, "Complete", "In Progress"))</f>
        <v>#REF!</v>
      </c>
      <c r="BR78" s="22">
        <v>0</v>
      </c>
      <c r="BS78" s="22" t="e">
        <f t="shared" si="14"/>
        <v>#REF!</v>
      </c>
      <c r="BT78" s="23" t="e">
        <f>IF(SUMPRODUCT($J$85:BS$85,$J78:BS78)&lt;0.5, "Pending", IF(BS78&lt;0.5, "Complete", "In Progress"))</f>
        <v>#REF!</v>
      </c>
      <c r="BU78" s="22">
        <v>0</v>
      </c>
      <c r="BV78" s="22" t="e">
        <f t="shared" si="15"/>
        <v>#REF!</v>
      </c>
      <c r="BW78" s="23" t="e">
        <f>IF(SUMPRODUCT($J$85:BV$85,$J78:BV78)&lt;0.5, "Pending", IF(BV78&lt;0.5, "Complete", "In Progress"))</f>
        <v>#REF!</v>
      </c>
      <c r="BX78" s="22">
        <v>0</v>
      </c>
      <c r="BY78" s="22" t="e">
        <f t="shared" si="16"/>
        <v>#REF!</v>
      </c>
      <c r="BZ78" s="23" t="e">
        <f>IF(SUMPRODUCT($J$85:BY$85,$J78:BY78)&lt;0.5, "Pending", IF(BY78&lt;0.5, "Complete", "In Progress"))</f>
        <v>#REF!</v>
      </c>
      <c r="CA78" s="22">
        <v>0</v>
      </c>
      <c r="CB78" s="22" t="e">
        <f t="shared" si="17"/>
        <v>#REF!</v>
      </c>
      <c r="CC78" s="23" t="e">
        <f>IF(SUMPRODUCT($J$85:CB$85,$J78:CB78)&lt;0.5, "Pending", IF(CB78&lt;0.5, "Complete", "In Progress"))</f>
        <v>#REF!</v>
      </c>
      <c r="CD78" s="24"/>
      <c r="CE78" s="25">
        <f>SUMPRODUCT($H$85:AY$85,$H78:AY78)</f>
        <v>43</v>
      </c>
    </row>
    <row r="79" spans="1:83" ht="13.8" customHeight="1" x14ac:dyDescent="0.25">
      <c r="A79" s="16" t="s">
        <v>103</v>
      </c>
      <c r="B79" s="16" t="s">
        <v>110</v>
      </c>
      <c r="C79" s="16" t="s">
        <v>508</v>
      </c>
      <c r="D79" s="17" t="s">
        <v>499</v>
      </c>
      <c r="E79" s="158" t="s">
        <v>374</v>
      </c>
      <c r="F79" s="158" t="s">
        <v>497</v>
      </c>
      <c r="G79" s="19"/>
      <c r="H79" s="20">
        <v>1</v>
      </c>
      <c r="I79" s="21">
        <v>6</v>
      </c>
      <c r="J79" s="21">
        <v>0</v>
      </c>
      <c r="K79" s="21">
        <v>0</v>
      </c>
      <c r="L79" s="21">
        <v>0</v>
      </c>
      <c r="M79" s="21">
        <v>0</v>
      </c>
      <c r="N79" s="21">
        <v>0</v>
      </c>
      <c r="O79" s="21">
        <v>0</v>
      </c>
      <c r="P79" s="21">
        <v>0</v>
      </c>
      <c r="Q79" s="21">
        <v>0</v>
      </c>
      <c r="R79" s="21">
        <v>0</v>
      </c>
      <c r="S79" s="21">
        <v>0</v>
      </c>
      <c r="T79" s="21">
        <v>0</v>
      </c>
      <c r="U79" s="21">
        <v>0</v>
      </c>
      <c r="V79" s="21">
        <v>0</v>
      </c>
      <c r="W79" s="21">
        <v>0</v>
      </c>
      <c r="X79" s="21">
        <v>0</v>
      </c>
      <c r="Y79" s="21">
        <v>0</v>
      </c>
      <c r="Z79" s="21">
        <v>0</v>
      </c>
      <c r="AA79" s="21">
        <v>0</v>
      </c>
      <c r="AB79" s="21">
        <v>0</v>
      </c>
      <c r="AC79" s="21">
        <v>0</v>
      </c>
      <c r="AD79" s="21">
        <v>0</v>
      </c>
      <c r="AE79" s="21">
        <v>0</v>
      </c>
      <c r="AF79" s="21">
        <v>0</v>
      </c>
      <c r="AG79" s="21">
        <v>0</v>
      </c>
      <c r="AH79" s="21">
        <v>0</v>
      </c>
      <c r="AI79" s="21">
        <v>0</v>
      </c>
      <c r="AJ79" s="21">
        <v>0</v>
      </c>
      <c r="AK79" s="21">
        <v>0</v>
      </c>
      <c r="AL79" s="21">
        <v>0</v>
      </c>
      <c r="AM79" s="21">
        <v>0</v>
      </c>
      <c r="AN79" s="21">
        <v>0</v>
      </c>
      <c r="AO79" s="21">
        <v>0</v>
      </c>
      <c r="AP79" s="21">
        <v>0</v>
      </c>
      <c r="AQ79" s="21">
        <v>0</v>
      </c>
      <c r="AR79" s="21">
        <v>0</v>
      </c>
      <c r="AS79" s="21">
        <v>0</v>
      </c>
      <c r="AT79" s="21">
        <v>0</v>
      </c>
      <c r="AU79" s="21">
        <v>0</v>
      </c>
      <c r="AV79" s="21">
        <v>0</v>
      </c>
      <c r="AW79" s="21">
        <v>0</v>
      </c>
      <c r="AX79" s="21">
        <v>0</v>
      </c>
      <c r="AY79" s="21">
        <v>0</v>
      </c>
      <c r="AZ79" s="22">
        <v>0</v>
      </c>
      <c r="BA79" s="22" t="e">
        <f>MAX(#REF!-AZ79,0)</f>
        <v>#REF!</v>
      </c>
      <c r="BB79" s="23" t="e">
        <f>IF(SUMPRODUCT($J$85:BA$85,$J79:BA79)&lt;0.5, "Pending", IF(BA79&lt;0.5, "Complete", "In Progress"))</f>
        <v>#REF!</v>
      </c>
      <c r="BC79" s="22">
        <v>0</v>
      </c>
      <c r="BD79" s="22" t="e">
        <f t="shared" si="9"/>
        <v>#REF!</v>
      </c>
      <c r="BE79" s="23" t="e">
        <f>IF(SUMPRODUCT($J$85:BD$85,$J79:BD79)&lt;0.5, "Pending", IF(BD79&lt;0.5, "Complete", "In Progress"))</f>
        <v>#REF!</v>
      </c>
      <c r="BF79" s="22">
        <v>0</v>
      </c>
      <c r="BG79" s="22" t="e">
        <f t="shared" si="10"/>
        <v>#REF!</v>
      </c>
      <c r="BH79" s="23" t="e">
        <f>IF(SUMPRODUCT($J$85:BG$85,$J79:BG79)&lt;0.5, "Pending", IF(BG79&lt;0.5, "Complete", "In Progress"))</f>
        <v>#REF!</v>
      </c>
      <c r="BI79" s="22">
        <v>0</v>
      </c>
      <c r="BJ79" s="22" t="e">
        <f t="shared" si="11"/>
        <v>#REF!</v>
      </c>
      <c r="BK79" s="23" t="e">
        <f>IF(SUMPRODUCT($J$85:BJ$85,$J79:BJ79)&lt;0.5, "Pending", IF(BJ79&lt;0.5, "Complete", "In Progress"))</f>
        <v>#REF!</v>
      </c>
      <c r="BL79" s="22">
        <v>0</v>
      </c>
      <c r="BM79" s="22" t="e">
        <f t="shared" si="12"/>
        <v>#REF!</v>
      </c>
      <c r="BN79" s="23" t="e">
        <f>IF(SUMPRODUCT($J$85:BM$85,$J79:BM79)&lt;0.5, "Pending", IF(BM79&lt;0.5, "Complete", "In Progress"))</f>
        <v>#REF!</v>
      </c>
      <c r="BO79" s="22">
        <v>0</v>
      </c>
      <c r="BP79" s="22" t="e">
        <f t="shared" si="13"/>
        <v>#REF!</v>
      </c>
      <c r="BQ79" s="23" t="e">
        <f>IF(SUMPRODUCT($J$85:BP$85,$J79:BP79)&lt;0.5, "Pending", IF(BP79&lt;0.5, "Complete", "In Progress"))</f>
        <v>#REF!</v>
      </c>
      <c r="BR79" s="22">
        <v>0</v>
      </c>
      <c r="BS79" s="22" t="e">
        <f t="shared" si="14"/>
        <v>#REF!</v>
      </c>
      <c r="BT79" s="23" t="e">
        <f>IF(SUMPRODUCT($J$85:BS$85,$J79:BS79)&lt;0.5, "Pending", IF(BS79&lt;0.5, "Complete", "In Progress"))</f>
        <v>#REF!</v>
      </c>
      <c r="BU79" s="22">
        <v>0</v>
      </c>
      <c r="BV79" s="22" t="e">
        <f t="shared" si="15"/>
        <v>#REF!</v>
      </c>
      <c r="BW79" s="23" t="e">
        <f>IF(SUMPRODUCT($J$85:BV$85,$J79:BV79)&lt;0.5, "Pending", IF(BV79&lt;0.5, "Complete", "In Progress"))</f>
        <v>#REF!</v>
      </c>
      <c r="BX79" s="22">
        <v>0</v>
      </c>
      <c r="BY79" s="22" t="e">
        <f t="shared" si="16"/>
        <v>#REF!</v>
      </c>
      <c r="BZ79" s="23" t="e">
        <f>IF(SUMPRODUCT($J$85:BY$85,$J79:BY79)&lt;0.5, "Pending", IF(BY79&lt;0.5, "Complete", "In Progress"))</f>
        <v>#REF!</v>
      </c>
      <c r="CA79" s="22">
        <v>0</v>
      </c>
      <c r="CB79" s="22" t="e">
        <f t="shared" si="17"/>
        <v>#REF!</v>
      </c>
      <c r="CC79" s="23" t="e">
        <f>IF(SUMPRODUCT($J$85:CB$85,$J79:CB79)&lt;0.5, "Pending", IF(CB79&lt;0.5, "Complete", "In Progress"))</f>
        <v>#REF!</v>
      </c>
      <c r="CD79" s="24"/>
      <c r="CE79" s="25">
        <f>SUMPRODUCT($H$85:AY$85,$H79:AY79)</f>
        <v>43</v>
      </c>
    </row>
    <row r="80" spans="1:83" ht="13.8" customHeight="1" x14ac:dyDescent="0.25">
      <c r="A80" s="16" t="s">
        <v>103</v>
      </c>
      <c r="B80" s="16" t="s">
        <v>117</v>
      </c>
      <c r="C80" s="16" t="s">
        <v>508</v>
      </c>
      <c r="D80" s="17" t="s">
        <v>200</v>
      </c>
      <c r="E80" s="158" t="s">
        <v>375</v>
      </c>
      <c r="F80" s="158" t="s">
        <v>498</v>
      </c>
      <c r="G80" s="19"/>
      <c r="H80" s="20">
        <v>1</v>
      </c>
      <c r="I80" s="21">
        <v>6</v>
      </c>
      <c r="J80" s="21">
        <v>0</v>
      </c>
      <c r="K80" s="21">
        <v>0</v>
      </c>
      <c r="L80" s="21">
        <v>0</v>
      </c>
      <c r="M80" s="21">
        <v>0</v>
      </c>
      <c r="N80" s="21">
        <v>0</v>
      </c>
      <c r="O80" s="21">
        <v>0</v>
      </c>
      <c r="P80" s="21">
        <v>0</v>
      </c>
      <c r="Q80" s="21">
        <v>0</v>
      </c>
      <c r="R80" s="21">
        <v>0</v>
      </c>
      <c r="S80" s="21">
        <v>0</v>
      </c>
      <c r="T80" s="21">
        <v>0</v>
      </c>
      <c r="U80" s="21">
        <v>0</v>
      </c>
      <c r="V80" s="21">
        <v>0</v>
      </c>
      <c r="W80" s="21">
        <v>0</v>
      </c>
      <c r="X80" s="21">
        <v>0</v>
      </c>
      <c r="Y80" s="21">
        <v>0</v>
      </c>
      <c r="Z80" s="21">
        <v>0</v>
      </c>
      <c r="AA80" s="21">
        <v>0</v>
      </c>
      <c r="AB80" s="21">
        <v>0</v>
      </c>
      <c r="AC80" s="21">
        <v>0</v>
      </c>
      <c r="AD80" s="21">
        <v>0</v>
      </c>
      <c r="AE80" s="21">
        <v>0</v>
      </c>
      <c r="AF80" s="21">
        <v>0</v>
      </c>
      <c r="AG80" s="21">
        <v>0</v>
      </c>
      <c r="AH80" s="21">
        <v>0</v>
      </c>
      <c r="AI80" s="21">
        <v>0</v>
      </c>
      <c r="AJ80" s="21">
        <v>0</v>
      </c>
      <c r="AK80" s="21">
        <v>0</v>
      </c>
      <c r="AL80" s="21">
        <v>0</v>
      </c>
      <c r="AM80" s="21">
        <v>0</v>
      </c>
      <c r="AN80" s="21">
        <v>0</v>
      </c>
      <c r="AO80" s="21">
        <v>0</v>
      </c>
      <c r="AP80" s="21">
        <v>0</v>
      </c>
      <c r="AQ80" s="21">
        <v>0</v>
      </c>
      <c r="AR80" s="21">
        <v>0</v>
      </c>
      <c r="AS80" s="21">
        <v>0</v>
      </c>
      <c r="AT80" s="21">
        <v>0</v>
      </c>
      <c r="AU80" s="21">
        <v>0</v>
      </c>
      <c r="AV80" s="21">
        <v>0</v>
      </c>
      <c r="AW80" s="21">
        <v>0</v>
      </c>
      <c r="AX80" s="21">
        <v>0</v>
      </c>
      <c r="AY80" s="21">
        <v>0</v>
      </c>
      <c r="AZ80" s="22">
        <v>0</v>
      </c>
      <c r="BA80" s="22" t="e">
        <f>MAX(#REF!-AZ80,0)</f>
        <v>#REF!</v>
      </c>
      <c r="BB80" s="23" t="e">
        <f>IF(SUMPRODUCT($J$85:BA$85,$J80:BA80)&lt;0.5, "Pending", IF(BA80&lt;0.5, "Complete", "In Progress"))</f>
        <v>#REF!</v>
      </c>
      <c r="BC80" s="22">
        <v>0</v>
      </c>
      <c r="BD80" s="22" t="e">
        <f t="shared" si="9"/>
        <v>#REF!</v>
      </c>
      <c r="BE80" s="23" t="e">
        <f>IF(SUMPRODUCT($J$85:BD$85,$J80:BD80)&lt;0.5, "Pending", IF(BD80&lt;0.5, "Complete", "In Progress"))</f>
        <v>#REF!</v>
      </c>
      <c r="BF80" s="22">
        <v>0</v>
      </c>
      <c r="BG80" s="22" t="e">
        <f t="shared" si="10"/>
        <v>#REF!</v>
      </c>
      <c r="BH80" s="23" t="e">
        <f>IF(SUMPRODUCT($J$85:BG$85,$J80:BG80)&lt;0.5, "Pending", IF(BG80&lt;0.5, "Complete", "In Progress"))</f>
        <v>#REF!</v>
      </c>
      <c r="BI80" s="22">
        <v>0</v>
      </c>
      <c r="BJ80" s="22" t="e">
        <f t="shared" si="11"/>
        <v>#REF!</v>
      </c>
      <c r="BK80" s="23" t="e">
        <f>IF(SUMPRODUCT($J$85:BJ$85,$J80:BJ80)&lt;0.5, "Pending", IF(BJ80&lt;0.5, "Complete", "In Progress"))</f>
        <v>#REF!</v>
      </c>
      <c r="BL80" s="22">
        <v>0</v>
      </c>
      <c r="BM80" s="22" t="e">
        <f t="shared" si="12"/>
        <v>#REF!</v>
      </c>
      <c r="BN80" s="23" t="e">
        <f>IF(SUMPRODUCT($J$85:BM$85,$J80:BM80)&lt;0.5, "Pending", IF(BM80&lt;0.5, "Complete", "In Progress"))</f>
        <v>#REF!</v>
      </c>
      <c r="BO80" s="22">
        <v>0</v>
      </c>
      <c r="BP80" s="22" t="e">
        <f t="shared" si="13"/>
        <v>#REF!</v>
      </c>
      <c r="BQ80" s="23" t="e">
        <f>IF(SUMPRODUCT($J$85:BP$85,$J80:BP80)&lt;0.5, "Pending", IF(BP80&lt;0.5, "Complete", "In Progress"))</f>
        <v>#REF!</v>
      </c>
      <c r="BR80" s="22">
        <v>0</v>
      </c>
      <c r="BS80" s="22" t="e">
        <f t="shared" si="14"/>
        <v>#REF!</v>
      </c>
      <c r="BT80" s="23" t="e">
        <f>IF(SUMPRODUCT($J$85:BS$85,$J80:BS80)&lt;0.5, "Pending", IF(BS80&lt;0.5, "Complete", "In Progress"))</f>
        <v>#REF!</v>
      </c>
      <c r="BU80" s="22">
        <v>0</v>
      </c>
      <c r="BV80" s="22" t="e">
        <f t="shared" si="15"/>
        <v>#REF!</v>
      </c>
      <c r="BW80" s="23" t="e">
        <f>IF(SUMPRODUCT($J$85:BV$85,$J80:BV80)&lt;0.5, "Pending", IF(BV80&lt;0.5, "Complete", "In Progress"))</f>
        <v>#REF!</v>
      </c>
      <c r="BX80" s="22">
        <v>0</v>
      </c>
      <c r="BY80" s="22" t="e">
        <f t="shared" si="16"/>
        <v>#REF!</v>
      </c>
      <c r="BZ80" s="23" t="e">
        <f>IF(SUMPRODUCT($J$85:BY$85,$J80:BY80)&lt;0.5, "Pending", IF(BY80&lt;0.5, "Complete", "In Progress"))</f>
        <v>#REF!</v>
      </c>
      <c r="CA80" s="22">
        <v>0</v>
      </c>
      <c r="CB80" s="22" t="e">
        <f t="shared" si="17"/>
        <v>#REF!</v>
      </c>
      <c r="CC80" s="23" t="e">
        <f>IF(SUMPRODUCT($J$85:CB$85,$J80:CB80)&lt;0.5, "Pending", IF(CB80&lt;0.5, "Complete", "In Progress"))</f>
        <v>#REF!</v>
      </c>
      <c r="CD80" s="24"/>
      <c r="CE80" s="25">
        <f>SUMPRODUCT($H$85:AY$85,$H80:AY80)</f>
        <v>43</v>
      </c>
    </row>
    <row r="81" spans="1:83" ht="13.8" customHeight="1" x14ac:dyDescent="0.25">
      <c r="A81" s="16" t="s">
        <v>103</v>
      </c>
      <c r="B81" s="16" t="s">
        <v>110</v>
      </c>
      <c r="C81" s="16" t="s">
        <v>509</v>
      </c>
      <c r="D81" s="17">
        <v>5</v>
      </c>
      <c r="E81" s="158" t="s">
        <v>376</v>
      </c>
      <c r="F81" s="158" t="s">
        <v>496</v>
      </c>
      <c r="G81" s="19"/>
      <c r="H81" s="20">
        <v>1</v>
      </c>
      <c r="I81" s="21">
        <v>6</v>
      </c>
      <c r="J81" s="21">
        <v>0</v>
      </c>
      <c r="K81" s="21">
        <v>0</v>
      </c>
      <c r="L81" s="21">
        <v>0</v>
      </c>
      <c r="M81" s="21">
        <v>0</v>
      </c>
      <c r="N81" s="21">
        <v>0</v>
      </c>
      <c r="O81" s="21">
        <v>0</v>
      </c>
      <c r="P81" s="21">
        <v>0</v>
      </c>
      <c r="Q81" s="21">
        <v>0</v>
      </c>
      <c r="R81" s="21">
        <v>0</v>
      </c>
      <c r="S81" s="21">
        <v>0</v>
      </c>
      <c r="T81" s="21">
        <v>0</v>
      </c>
      <c r="U81" s="21">
        <v>0</v>
      </c>
      <c r="V81" s="21">
        <v>0</v>
      </c>
      <c r="W81" s="21">
        <v>0</v>
      </c>
      <c r="X81" s="21">
        <v>0</v>
      </c>
      <c r="Y81" s="21">
        <v>0</v>
      </c>
      <c r="Z81" s="21">
        <v>0</v>
      </c>
      <c r="AA81" s="21">
        <v>0</v>
      </c>
      <c r="AB81" s="21">
        <v>0</v>
      </c>
      <c r="AC81" s="21">
        <v>0</v>
      </c>
      <c r="AD81" s="21">
        <v>0</v>
      </c>
      <c r="AE81" s="21">
        <v>0</v>
      </c>
      <c r="AF81" s="21">
        <v>0</v>
      </c>
      <c r="AG81" s="21">
        <v>0</v>
      </c>
      <c r="AH81" s="21">
        <v>0</v>
      </c>
      <c r="AI81" s="21">
        <v>0</v>
      </c>
      <c r="AJ81" s="21">
        <v>0</v>
      </c>
      <c r="AK81" s="21">
        <v>0</v>
      </c>
      <c r="AL81" s="21">
        <v>0</v>
      </c>
      <c r="AM81" s="21">
        <v>0</v>
      </c>
      <c r="AN81" s="21">
        <v>0</v>
      </c>
      <c r="AO81" s="21">
        <v>0</v>
      </c>
      <c r="AP81" s="21">
        <v>0</v>
      </c>
      <c r="AQ81" s="21">
        <v>0</v>
      </c>
      <c r="AR81" s="21">
        <v>0</v>
      </c>
      <c r="AS81" s="21">
        <v>0</v>
      </c>
      <c r="AT81" s="21">
        <v>0</v>
      </c>
      <c r="AU81" s="21">
        <v>0</v>
      </c>
      <c r="AV81" s="21">
        <v>0</v>
      </c>
      <c r="AW81" s="21">
        <v>0</v>
      </c>
      <c r="AX81" s="21">
        <v>0</v>
      </c>
      <c r="AY81" s="21">
        <v>0</v>
      </c>
      <c r="AZ81" s="22">
        <v>0</v>
      </c>
      <c r="BA81" s="22" t="e">
        <f>MAX(#REF!-AZ81,0)</f>
        <v>#REF!</v>
      </c>
      <c r="BB81" s="23" t="e">
        <f>IF(SUMPRODUCT($J$85:BA$85,$J81:BA81)&lt;0.5, "Pending", IF(BA81&lt;0.5, "Complete", "In Progress"))</f>
        <v>#REF!</v>
      </c>
      <c r="BC81" s="22">
        <v>0</v>
      </c>
      <c r="BD81" s="22" t="e">
        <f t="shared" si="9"/>
        <v>#REF!</v>
      </c>
      <c r="BE81" s="23" t="e">
        <f>IF(SUMPRODUCT($J$85:BD$85,$J81:BD81)&lt;0.5, "Pending", IF(BD81&lt;0.5, "Complete", "In Progress"))</f>
        <v>#REF!</v>
      </c>
      <c r="BF81" s="22">
        <v>0</v>
      </c>
      <c r="BG81" s="22" t="e">
        <f t="shared" si="10"/>
        <v>#REF!</v>
      </c>
      <c r="BH81" s="23" t="e">
        <f>IF(SUMPRODUCT($J$85:BG$85,$J81:BG81)&lt;0.5, "Pending", IF(BG81&lt;0.5, "Complete", "In Progress"))</f>
        <v>#REF!</v>
      </c>
      <c r="BI81" s="22">
        <v>0</v>
      </c>
      <c r="BJ81" s="22" t="e">
        <f t="shared" si="11"/>
        <v>#REF!</v>
      </c>
      <c r="BK81" s="23" t="e">
        <f>IF(SUMPRODUCT($J$85:BJ$85,$J81:BJ81)&lt;0.5, "Pending", IF(BJ81&lt;0.5, "Complete", "In Progress"))</f>
        <v>#REF!</v>
      </c>
      <c r="BL81" s="22">
        <v>0</v>
      </c>
      <c r="BM81" s="22" t="e">
        <f t="shared" si="12"/>
        <v>#REF!</v>
      </c>
      <c r="BN81" s="23" t="e">
        <f>IF(SUMPRODUCT($J$85:BM$85,$J81:BM81)&lt;0.5, "Pending", IF(BM81&lt;0.5, "Complete", "In Progress"))</f>
        <v>#REF!</v>
      </c>
      <c r="BO81" s="22">
        <v>0</v>
      </c>
      <c r="BP81" s="22" t="e">
        <f t="shared" si="13"/>
        <v>#REF!</v>
      </c>
      <c r="BQ81" s="23" t="e">
        <f>IF(SUMPRODUCT($J$85:BP$85,$J81:BP81)&lt;0.5, "Pending", IF(BP81&lt;0.5, "Complete", "In Progress"))</f>
        <v>#REF!</v>
      </c>
      <c r="BR81" s="22">
        <v>0</v>
      </c>
      <c r="BS81" s="22" t="e">
        <f t="shared" si="14"/>
        <v>#REF!</v>
      </c>
      <c r="BT81" s="23" t="e">
        <f>IF(SUMPRODUCT($J$85:BS$85,$J81:BS81)&lt;0.5, "Pending", IF(BS81&lt;0.5, "Complete", "In Progress"))</f>
        <v>#REF!</v>
      </c>
      <c r="BU81" s="22">
        <v>0</v>
      </c>
      <c r="BV81" s="22" t="e">
        <f t="shared" si="15"/>
        <v>#REF!</v>
      </c>
      <c r="BW81" s="23" t="e">
        <f>IF(SUMPRODUCT($J$85:BV$85,$J81:BV81)&lt;0.5, "Pending", IF(BV81&lt;0.5, "Complete", "In Progress"))</f>
        <v>#REF!</v>
      </c>
      <c r="BX81" s="22">
        <v>0</v>
      </c>
      <c r="BY81" s="22" t="e">
        <f t="shared" si="16"/>
        <v>#REF!</v>
      </c>
      <c r="BZ81" s="23" t="e">
        <f>IF(SUMPRODUCT($J$85:BY$85,$J81:BY81)&lt;0.5, "Pending", IF(BY81&lt;0.5, "Complete", "In Progress"))</f>
        <v>#REF!</v>
      </c>
      <c r="CA81" s="22">
        <v>0</v>
      </c>
      <c r="CB81" s="22" t="e">
        <f t="shared" si="17"/>
        <v>#REF!</v>
      </c>
      <c r="CC81" s="23" t="e">
        <f>IF(SUMPRODUCT($J$85:CB$85,$J81:CB81)&lt;0.5, "Pending", IF(CB81&lt;0.5, "Complete", "In Progress"))</f>
        <v>#REF!</v>
      </c>
      <c r="CD81" s="24"/>
      <c r="CE81" s="25">
        <f>SUMPRODUCT($H$85:AY$85,$H81:AY81)</f>
        <v>43</v>
      </c>
    </row>
    <row r="82" spans="1:83" ht="13.8" customHeight="1" x14ac:dyDescent="0.25">
      <c r="A82" s="16" t="s">
        <v>103</v>
      </c>
      <c r="B82" s="16" t="s">
        <v>110</v>
      </c>
      <c r="C82" s="16" t="s">
        <v>509</v>
      </c>
      <c r="D82" s="17">
        <v>5.0999999999999996</v>
      </c>
      <c r="E82" s="158" t="s">
        <v>377</v>
      </c>
      <c r="F82" s="158" t="s">
        <v>495</v>
      </c>
      <c r="G82" s="169"/>
      <c r="H82" s="20">
        <v>1</v>
      </c>
      <c r="I82" s="21">
        <v>6</v>
      </c>
      <c r="J82" s="21">
        <v>0</v>
      </c>
      <c r="K82" s="21">
        <v>0</v>
      </c>
      <c r="L82" s="21">
        <v>0</v>
      </c>
      <c r="M82" s="21">
        <v>0</v>
      </c>
      <c r="N82" s="21">
        <v>0</v>
      </c>
      <c r="O82" s="21">
        <v>0</v>
      </c>
      <c r="P82" s="21">
        <v>0</v>
      </c>
      <c r="Q82" s="21">
        <v>0</v>
      </c>
      <c r="R82" s="21">
        <v>0</v>
      </c>
      <c r="S82" s="21">
        <v>0</v>
      </c>
      <c r="T82" s="21">
        <v>0</v>
      </c>
      <c r="U82" s="21">
        <v>0</v>
      </c>
      <c r="V82" s="21">
        <v>0</v>
      </c>
      <c r="W82" s="21">
        <v>0</v>
      </c>
      <c r="X82" s="21">
        <v>0</v>
      </c>
      <c r="Y82" s="21">
        <v>0</v>
      </c>
      <c r="Z82" s="21">
        <v>0</v>
      </c>
      <c r="AA82" s="21">
        <v>0</v>
      </c>
      <c r="AB82" s="21">
        <v>0</v>
      </c>
      <c r="AC82" s="21">
        <v>0</v>
      </c>
      <c r="AD82" s="21">
        <v>0</v>
      </c>
      <c r="AE82" s="21">
        <v>0</v>
      </c>
      <c r="AF82" s="21">
        <v>0</v>
      </c>
      <c r="AG82" s="21">
        <v>0</v>
      </c>
      <c r="AH82" s="21">
        <v>0</v>
      </c>
      <c r="AI82" s="21">
        <v>0</v>
      </c>
      <c r="AJ82" s="21">
        <v>0</v>
      </c>
      <c r="AK82" s="21">
        <v>0</v>
      </c>
      <c r="AL82" s="21">
        <v>0</v>
      </c>
      <c r="AM82" s="21">
        <v>0</v>
      </c>
      <c r="AN82" s="21">
        <v>0</v>
      </c>
      <c r="AO82" s="21">
        <v>0</v>
      </c>
      <c r="AP82" s="21">
        <v>0</v>
      </c>
      <c r="AQ82" s="21">
        <v>0</v>
      </c>
      <c r="AR82" s="21">
        <v>0</v>
      </c>
      <c r="AS82" s="21">
        <v>0</v>
      </c>
      <c r="AT82" s="21">
        <v>0</v>
      </c>
      <c r="AU82" s="21">
        <v>0</v>
      </c>
      <c r="AV82" s="21">
        <v>0</v>
      </c>
      <c r="AW82" s="21">
        <v>0</v>
      </c>
      <c r="AX82" s="21">
        <v>0</v>
      </c>
      <c r="AY82" s="21">
        <v>0</v>
      </c>
      <c r="AZ82" s="22">
        <v>0</v>
      </c>
      <c r="BA82" s="22" t="e">
        <f>MAX(#REF!-AZ82,0)</f>
        <v>#REF!</v>
      </c>
      <c r="BB82" s="23" t="e">
        <f>IF(SUMPRODUCT($J$85:BA$85,$J82:BA82)&lt;0.5, "Pending", IF(BA82&lt;0.5, "Complete", "In Progress"))</f>
        <v>#REF!</v>
      </c>
      <c r="BC82" s="22">
        <v>0</v>
      </c>
      <c r="BD82" s="22" t="e">
        <f t="shared" si="9"/>
        <v>#REF!</v>
      </c>
      <c r="BE82" s="23" t="e">
        <f>IF(SUMPRODUCT($J$85:BD$85,$J82:BD82)&lt;0.5, "Pending", IF(BD82&lt;0.5, "Complete", "In Progress"))</f>
        <v>#REF!</v>
      </c>
      <c r="BF82" s="22">
        <v>0</v>
      </c>
      <c r="BG82" s="22" t="e">
        <f t="shared" si="10"/>
        <v>#REF!</v>
      </c>
      <c r="BH82" s="23" t="e">
        <f>IF(SUMPRODUCT($J$85:BG$85,$J82:BG82)&lt;0.5, "Pending", IF(BG82&lt;0.5, "Complete", "In Progress"))</f>
        <v>#REF!</v>
      </c>
      <c r="BI82" s="22">
        <v>0</v>
      </c>
      <c r="BJ82" s="22" t="e">
        <f t="shared" si="11"/>
        <v>#REF!</v>
      </c>
      <c r="BK82" s="23" t="e">
        <f>IF(SUMPRODUCT($J$85:BJ$85,$J82:BJ82)&lt;0.5, "Pending", IF(BJ82&lt;0.5, "Complete", "In Progress"))</f>
        <v>#REF!</v>
      </c>
      <c r="BL82" s="22">
        <v>0</v>
      </c>
      <c r="BM82" s="22" t="e">
        <f t="shared" si="12"/>
        <v>#REF!</v>
      </c>
      <c r="BN82" s="23" t="e">
        <f>IF(SUMPRODUCT($J$85:BM$85,$J82:BM82)&lt;0.5, "Pending", IF(BM82&lt;0.5, "Complete", "In Progress"))</f>
        <v>#REF!</v>
      </c>
      <c r="BO82" s="22">
        <v>0</v>
      </c>
      <c r="BP82" s="22" t="e">
        <f t="shared" si="13"/>
        <v>#REF!</v>
      </c>
      <c r="BQ82" s="23" t="e">
        <f>IF(SUMPRODUCT($J$85:BP$85,$J82:BP82)&lt;0.5, "Pending", IF(BP82&lt;0.5, "Complete", "In Progress"))</f>
        <v>#REF!</v>
      </c>
      <c r="BR82" s="22">
        <v>0</v>
      </c>
      <c r="BS82" s="22" t="e">
        <f t="shared" si="14"/>
        <v>#REF!</v>
      </c>
      <c r="BT82" s="23" t="e">
        <f>IF(SUMPRODUCT($J$85:BS$85,$J82:BS82)&lt;0.5, "Pending", IF(BS82&lt;0.5, "Complete", "In Progress"))</f>
        <v>#REF!</v>
      </c>
      <c r="BU82" s="22">
        <v>0</v>
      </c>
      <c r="BV82" s="22" t="e">
        <f t="shared" si="15"/>
        <v>#REF!</v>
      </c>
      <c r="BW82" s="23" t="e">
        <f>IF(SUMPRODUCT($J$85:BV$85,$J82:BV82)&lt;0.5, "Pending", IF(BV82&lt;0.5, "Complete", "In Progress"))</f>
        <v>#REF!</v>
      </c>
      <c r="BX82" s="22">
        <v>0</v>
      </c>
      <c r="BY82" s="22" t="e">
        <f t="shared" si="16"/>
        <v>#REF!</v>
      </c>
      <c r="BZ82" s="23" t="e">
        <f>IF(SUMPRODUCT($J$85:BY$85,$J82:BY82)&lt;0.5, "Pending", IF(BY82&lt;0.5, "Complete", "In Progress"))</f>
        <v>#REF!</v>
      </c>
      <c r="CA82" s="22">
        <v>0</v>
      </c>
      <c r="CB82" s="22" t="e">
        <f t="shared" si="17"/>
        <v>#REF!</v>
      </c>
      <c r="CC82" s="23" t="e">
        <f>IF(SUMPRODUCT($J$85:CB$85,$J82:CB82)&lt;0.5, "Pending", IF(CB82&lt;0.5, "Complete", "In Progress"))</f>
        <v>#REF!</v>
      </c>
      <c r="CD82" s="24"/>
      <c r="CE82" s="25">
        <f>SUMPRODUCT($H$85:AY$85,$H82:AY82)</f>
        <v>43</v>
      </c>
    </row>
    <row r="83" spans="1:83" ht="13.8" customHeight="1" x14ac:dyDescent="0.25">
      <c r="A83" s="16" t="s">
        <v>103</v>
      </c>
      <c r="B83" s="16" t="s">
        <v>110</v>
      </c>
      <c r="C83" s="16" t="s">
        <v>510</v>
      </c>
      <c r="D83" s="17" t="s">
        <v>201</v>
      </c>
      <c r="E83" s="158" t="s">
        <v>378</v>
      </c>
      <c r="F83" s="158" t="s">
        <v>493</v>
      </c>
      <c r="G83" s="168"/>
      <c r="H83" s="20">
        <v>1</v>
      </c>
      <c r="I83" s="21">
        <v>56</v>
      </c>
      <c r="J83" s="21">
        <v>0</v>
      </c>
      <c r="K83" s="21">
        <v>0</v>
      </c>
      <c r="L83" s="21">
        <v>0</v>
      </c>
      <c r="M83" s="21">
        <v>0</v>
      </c>
      <c r="N83" s="21">
        <v>0</v>
      </c>
      <c r="O83" s="21">
        <v>0</v>
      </c>
      <c r="P83" s="21">
        <v>0</v>
      </c>
      <c r="Q83" s="21">
        <v>0</v>
      </c>
      <c r="R83" s="21">
        <v>0</v>
      </c>
      <c r="S83" s="21">
        <v>0</v>
      </c>
      <c r="T83" s="21">
        <v>0</v>
      </c>
      <c r="U83" s="21">
        <v>0</v>
      </c>
      <c r="V83" s="21">
        <v>0</v>
      </c>
      <c r="W83" s="21">
        <v>0</v>
      </c>
      <c r="X83" s="21">
        <v>0</v>
      </c>
      <c r="Y83" s="21">
        <v>0</v>
      </c>
      <c r="Z83" s="21">
        <v>0</v>
      </c>
      <c r="AA83" s="21">
        <v>0</v>
      </c>
      <c r="AB83" s="21">
        <v>0</v>
      </c>
      <c r="AC83" s="21">
        <v>0</v>
      </c>
      <c r="AD83" s="21">
        <v>0</v>
      </c>
      <c r="AE83" s="21">
        <v>0</v>
      </c>
      <c r="AF83" s="21">
        <v>0</v>
      </c>
      <c r="AG83" s="21">
        <v>0</v>
      </c>
      <c r="AH83" s="21">
        <v>0</v>
      </c>
      <c r="AI83" s="21">
        <v>0</v>
      </c>
      <c r="AJ83" s="21">
        <v>0</v>
      </c>
      <c r="AK83" s="21">
        <v>0</v>
      </c>
      <c r="AL83" s="21">
        <v>0</v>
      </c>
      <c r="AM83" s="21">
        <v>0</v>
      </c>
      <c r="AN83" s="21">
        <v>0</v>
      </c>
      <c r="AO83" s="21">
        <v>0</v>
      </c>
      <c r="AP83" s="21">
        <v>0</v>
      </c>
      <c r="AQ83" s="21">
        <v>0</v>
      </c>
      <c r="AR83" s="21">
        <v>0</v>
      </c>
      <c r="AS83" s="21">
        <v>0</v>
      </c>
      <c r="AT83" s="21">
        <v>0</v>
      </c>
      <c r="AU83" s="21">
        <v>0</v>
      </c>
      <c r="AV83" s="21">
        <v>0</v>
      </c>
      <c r="AW83" s="21">
        <v>0</v>
      </c>
      <c r="AX83" s="21">
        <v>0</v>
      </c>
      <c r="AY83" s="21">
        <v>0</v>
      </c>
      <c r="AZ83" s="22">
        <v>0</v>
      </c>
      <c r="BA83" s="22" t="e">
        <f>MAX(#REF!-AZ83,0)</f>
        <v>#REF!</v>
      </c>
      <c r="BB83" s="23" t="e">
        <f>IF(SUMPRODUCT($J$85:BA$85,$J83:BA83)&lt;0.5, "Pending", IF(BA83&lt;0.5, "Complete", "In Progress"))</f>
        <v>#REF!</v>
      </c>
      <c r="BC83" s="22">
        <v>0</v>
      </c>
      <c r="BD83" s="22" t="e">
        <f t="shared" si="9"/>
        <v>#REF!</v>
      </c>
      <c r="BE83" s="23" t="e">
        <f>IF(SUMPRODUCT($J$85:BD$85,$J83:BD83)&lt;0.5, "Pending", IF(BD83&lt;0.5, "Complete", "In Progress"))</f>
        <v>#REF!</v>
      </c>
      <c r="BF83" s="22">
        <v>0</v>
      </c>
      <c r="BG83" s="22" t="e">
        <f t="shared" si="10"/>
        <v>#REF!</v>
      </c>
      <c r="BH83" s="23" t="e">
        <f>IF(SUMPRODUCT($J$85:BG$85,$J83:BG83)&lt;0.5, "Pending", IF(BG83&lt;0.5, "Complete", "In Progress"))</f>
        <v>#REF!</v>
      </c>
      <c r="BI83" s="22">
        <v>0</v>
      </c>
      <c r="BJ83" s="22" t="e">
        <f t="shared" si="11"/>
        <v>#REF!</v>
      </c>
      <c r="BK83" s="23" t="e">
        <f>IF(SUMPRODUCT($J$85:BJ$85,$J83:BJ83)&lt;0.5, "Pending", IF(BJ83&lt;0.5, "Complete", "In Progress"))</f>
        <v>#REF!</v>
      </c>
      <c r="BL83" s="22">
        <v>0</v>
      </c>
      <c r="BM83" s="22" t="e">
        <f t="shared" si="12"/>
        <v>#REF!</v>
      </c>
      <c r="BN83" s="23" t="e">
        <f>IF(SUMPRODUCT($J$85:BM$85,$J83:BM83)&lt;0.5, "Pending", IF(BM83&lt;0.5, "Complete", "In Progress"))</f>
        <v>#REF!</v>
      </c>
      <c r="BO83" s="22">
        <v>0</v>
      </c>
      <c r="BP83" s="22" t="e">
        <f t="shared" si="13"/>
        <v>#REF!</v>
      </c>
      <c r="BQ83" s="23" t="e">
        <f>IF(SUMPRODUCT($J$85:BP$85,$J83:BP83)&lt;0.5, "Pending", IF(BP83&lt;0.5, "Complete", "In Progress"))</f>
        <v>#REF!</v>
      </c>
      <c r="BR83" s="22">
        <v>0</v>
      </c>
      <c r="BS83" s="22" t="e">
        <f t="shared" si="14"/>
        <v>#REF!</v>
      </c>
      <c r="BT83" s="23" t="e">
        <f>IF(SUMPRODUCT($J$85:BS$85,$J83:BS83)&lt;0.5, "Pending", IF(BS83&lt;0.5, "Complete", "In Progress"))</f>
        <v>#REF!</v>
      </c>
      <c r="BU83" s="22">
        <v>0</v>
      </c>
      <c r="BV83" s="22" t="e">
        <f t="shared" si="15"/>
        <v>#REF!</v>
      </c>
      <c r="BW83" s="23" t="e">
        <f>IF(SUMPRODUCT($J$85:BV$85,$J83:BV83)&lt;0.5, "Pending", IF(BV83&lt;0.5, "Complete", "In Progress"))</f>
        <v>#REF!</v>
      </c>
      <c r="BX83" s="22">
        <v>0</v>
      </c>
      <c r="BY83" s="22" t="e">
        <f t="shared" si="16"/>
        <v>#REF!</v>
      </c>
      <c r="BZ83" s="23" t="e">
        <f>IF(SUMPRODUCT($J$85:BY$85,$J83:BY83)&lt;0.5, "Pending", IF(BY83&lt;0.5, "Complete", "In Progress"))</f>
        <v>#REF!</v>
      </c>
      <c r="CA83" s="22">
        <v>0</v>
      </c>
      <c r="CB83" s="22" t="e">
        <f t="shared" si="17"/>
        <v>#REF!</v>
      </c>
      <c r="CC83" s="23" t="e">
        <f>IF(SUMPRODUCT($J$85:CB$85,$J83:CB83)&lt;0.5, "Pending", IF(CB83&lt;0.5, "Complete", "In Progress"))</f>
        <v>#REF!</v>
      </c>
      <c r="CD83" s="24"/>
      <c r="CE83" s="25">
        <f>SUMPRODUCT($H$85:AY$85,$H83:AY83)</f>
        <v>393</v>
      </c>
    </row>
    <row r="84" spans="1:83" ht="13.8" customHeight="1" x14ac:dyDescent="0.25">
      <c r="A84" s="16" t="s">
        <v>103</v>
      </c>
      <c r="B84" s="16" t="s">
        <v>116</v>
      </c>
      <c r="C84" s="16" t="s">
        <v>510</v>
      </c>
      <c r="D84" s="17" t="s">
        <v>202</v>
      </c>
      <c r="E84" s="158" t="s">
        <v>379</v>
      </c>
      <c r="F84" s="158" t="s">
        <v>494</v>
      </c>
      <c r="G84" s="19"/>
      <c r="H84" s="20">
        <v>1</v>
      </c>
      <c r="I84" s="21">
        <v>7</v>
      </c>
      <c r="J84" s="21">
        <v>0</v>
      </c>
      <c r="K84" s="21">
        <v>0</v>
      </c>
      <c r="L84" s="21">
        <v>0</v>
      </c>
      <c r="M84" s="21">
        <v>0</v>
      </c>
      <c r="N84" s="21">
        <v>0</v>
      </c>
      <c r="O84" s="21">
        <v>0</v>
      </c>
      <c r="P84" s="21">
        <v>0</v>
      </c>
      <c r="Q84" s="21">
        <v>0</v>
      </c>
      <c r="R84" s="21">
        <v>0</v>
      </c>
      <c r="S84" s="21">
        <v>0</v>
      </c>
      <c r="T84" s="21">
        <v>0</v>
      </c>
      <c r="U84" s="21">
        <v>0</v>
      </c>
      <c r="V84" s="21">
        <v>0</v>
      </c>
      <c r="W84" s="21">
        <v>0</v>
      </c>
      <c r="X84" s="21">
        <v>0</v>
      </c>
      <c r="Y84" s="21">
        <v>0</v>
      </c>
      <c r="Z84" s="21">
        <v>0</v>
      </c>
      <c r="AA84" s="21">
        <v>0</v>
      </c>
      <c r="AB84" s="21">
        <v>0</v>
      </c>
      <c r="AC84" s="21">
        <v>0</v>
      </c>
      <c r="AD84" s="21">
        <v>0</v>
      </c>
      <c r="AE84" s="21">
        <v>0</v>
      </c>
      <c r="AF84" s="21">
        <v>0</v>
      </c>
      <c r="AG84" s="21">
        <v>0</v>
      </c>
      <c r="AH84" s="21">
        <v>0</v>
      </c>
      <c r="AI84" s="21">
        <v>0</v>
      </c>
      <c r="AJ84" s="21">
        <v>0</v>
      </c>
      <c r="AK84" s="21">
        <v>0</v>
      </c>
      <c r="AL84" s="21">
        <v>0</v>
      </c>
      <c r="AM84" s="21">
        <v>0</v>
      </c>
      <c r="AN84" s="21">
        <v>0</v>
      </c>
      <c r="AO84" s="21">
        <v>0</v>
      </c>
      <c r="AP84" s="21">
        <v>0</v>
      </c>
      <c r="AQ84" s="21">
        <v>0</v>
      </c>
      <c r="AR84" s="21">
        <v>0</v>
      </c>
      <c r="AS84" s="21">
        <v>0</v>
      </c>
      <c r="AT84" s="21">
        <v>0</v>
      </c>
      <c r="AU84" s="21">
        <v>0</v>
      </c>
      <c r="AV84" s="21">
        <v>0</v>
      </c>
      <c r="AW84" s="21">
        <v>0</v>
      </c>
      <c r="AX84" s="21">
        <v>0</v>
      </c>
      <c r="AY84" s="21">
        <v>0</v>
      </c>
      <c r="AZ84" s="22">
        <v>0</v>
      </c>
      <c r="BA84" s="22" t="e">
        <f>MAX(#REF!-AZ84,0)</f>
        <v>#REF!</v>
      </c>
      <c r="BB84" s="23" t="e">
        <f>IF(SUMPRODUCT($J$85:BA$85,$J84:BA84)&lt;0.5, "Pending", IF(BA84&lt;0.5, "Complete", "In Progress"))</f>
        <v>#REF!</v>
      </c>
      <c r="BC84" s="22">
        <v>0</v>
      </c>
      <c r="BD84" s="22" t="e">
        <f t="shared" si="9"/>
        <v>#REF!</v>
      </c>
      <c r="BE84" s="23" t="e">
        <f>IF(SUMPRODUCT($J$85:BD$85,$J84:BD84)&lt;0.5, "Pending", IF(BD84&lt;0.5, "Complete", "In Progress"))</f>
        <v>#REF!</v>
      </c>
      <c r="BF84" s="22">
        <v>0</v>
      </c>
      <c r="BG84" s="22" t="e">
        <f t="shared" si="10"/>
        <v>#REF!</v>
      </c>
      <c r="BH84" s="23" t="e">
        <f>IF(SUMPRODUCT($J$85:BG$85,$J84:BG84)&lt;0.5, "Pending", IF(BG84&lt;0.5, "Complete", "In Progress"))</f>
        <v>#REF!</v>
      </c>
      <c r="BI84" s="22">
        <v>0</v>
      </c>
      <c r="BJ84" s="22" t="e">
        <f t="shared" si="11"/>
        <v>#REF!</v>
      </c>
      <c r="BK84" s="23" t="e">
        <f>IF(SUMPRODUCT($J$85:BJ$85,$J84:BJ84)&lt;0.5, "Pending", IF(BJ84&lt;0.5, "Complete", "In Progress"))</f>
        <v>#REF!</v>
      </c>
      <c r="BL84" s="22">
        <v>0</v>
      </c>
      <c r="BM84" s="22" t="e">
        <f t="shared" si="12"/>
        <v>#REF!</v>
      </c>
      <c r="BN84" s="23" t="e">
        <f>IF(SUMPRODUCT($J$85:BM$85,$J84:BM84)&lt;0.5, "Pending", IF(BM84&lt;0.5, "Complete", "In Progress"))</f>
        <v>#REF!</v>
      </c>
      <c r="BO84" s="22">
        <v>0</v>
      </c>
      <c r="BP84" s="22" t="e">
        <f t="shared" si="13"/>
        <v>#REF!</v>
      </c>
      <c r="BQ84" s="23" t="e">
        <f>IF(SUMPRODUCT($J$85:BP$85,$J84:BP84)&lt;0.5, "Pending", IF(BP84&lt;0.5, "Complete", "In Progress"))</f>
        <v>#REF!</v>
      </c>
      <c r="BR84" s="22">
        <v>0</v>
      </c>
      <c r="BS84" s="22" t="e">
        <f t="shared" si="14"/>
        <v>#REF!</v>
      </c>
      <c r="BT84" s="23" t="e">
        <f>IF(SUMPRODUCT($J$85:BS$85,$J84:BS84)&lt;0.5, "Pending", IF(BS84&lt;0.5, "Complete", "In Progress"))</f>
        <v>#REF!</v>
      </c>
      <c r="BU84" s="22">
        <v>0</v>
      </c>
      <c r="BV84" s="22" t="e">
        <f t="shared" si="15"/>
        <v>#REF!</v>
      </c>
      <c r="BW84" s="23" t="e">
        <f>IF(SUMPRODUCT($J$85:BV$85,$J84:BV84)&lt;0.5, "Pending", IF(BV84&lt;0.5, "Complete", "In Progress"))</f>
        <v>#REF!</v>
      </c>
      <c r="BX84" s="22">
        <v>0</v>
      </c>
      <c r="BY84" s="22" t="e">
        <f t="shared" si="16"/>
        <v>#REF!</v>
      </c>
      <c r="BZ84" s="23" t="e">
        <f>IF(SUMPRODUCT($J$85:BY$85,$J84:BY84)&lt;0.5, "Pending", IF(BY84&lt;0.5, "Complete", "In Progress"))</f>
        <v>#REF!</v>
      </c>
      <c r="CA84" s="22">
        <v>0</v>
      </c>
      <c r="CB84" s="22" t="e">
        <f t="shared" si="17"/>
        <v>#REF!</v>
      </c>
      <c r="CC84" s="23" t="e">
        <f>IF(SUMPRODUCT($J$85:CB$85,$J84:CB84)&lt;0.5, "Pending", IF(CB84&lt;0.5, "Complete", "In Progress"))</f>
        <v>#REF!</v>
      </c>
      <c r="CD84" s="24"/>
      <c r="CE84" s="25">
        <f>SUMPRODUCT($H$85:AY$85,$H84:AY84)</f>
        <v>50</v>
      </c>
    </row>
    <row r="85" spans="1:83" ht="13.8" customHeight="1" x14ac:dyDescent="0.25">
      <c r="A85" s="16" t="s">
        <v>103</v>
      </c>
      <c r="B85" s="16" t="s">
        <v>115</v>
      </c>
      <c r="C85" s="16" t="s">
        <v>510</v>
      </c>
      <c r="D85" s="17" t="s">
        <v>203</v>
      </c>
      <c r="E85" s="158" t="s">
        <v>380</v>
      </c>
      <c r="F85" s="158" t="s">
        <v>497</v>
      </c>
      <c r="G85" s="19"/>
      <c r="H85" s="20">
        <v>1</v>
      </c>
      <c r="I85" s="21">
        <v>7</v>
      </c>
      <c r="J85" s="21">
        <v>0</v>
      </c>
      <c r="K85" s="21">
        <v>0</v>
      </c>
      <c r="L85" s="21">
        <v>0</v>
      </c>
      <c r="M85" s="21">
        <v>0</v>
      </c>
      <c r="N85" s="21">
        <v>0</v>
      </c>
      <c r="O85" s="21">
        <v>0</v>
      </c>
      <c r="P85" s="21">
        <v>0</v>
      </c>
      <c r="Q85" s="21">
        <v>0</v>
      </c>
      <c r="R85" s="21">
        <v>0</v>
      </c>
      <c r="S85" s="21">
        <v>0</v>
      </c>
      <c r="T85" s="21">
        <v>0</v>
      </c>
      <c r="U85" s="21">
        <v>0</v>
      </c>
      <c r="V85" s="21">
        <v>0</v>
      </c>
      <c r="W85" s="21">
        <v>0</v>
      </c>
      <c r="X85" s="21">
        <v>0</v>
      </c>
      <c r="Y85" s="21">
        <v>0</v>
      </c>
      <c r="Z85" s="21">
        <v>0</v>
      </c>
      <c r="AA85" s="21">
        <v>0</v>
      </c>
      <c r="AB85" s="21">
        <v>0</v>
      </c>
      <c r="AC85" s="21">
        <v>0</v>
      </c>
      <c r="AD85" s="21">
        <v>0</v>
      </c>
      <c r="AE85" s="21">
        <v>0</v>
      </c>
      <c r="AF85" s="21">
        <v>0</v>
      </c>
      <c r="AG85" s="21">
        <v>0</v>
      </c>
      <c r="AH85" s="21">
        <v>0</v>
      </c>
      <c r="AI85" s="21">
        <v>0</v>
      </c>
      <c r="AJ85" s="21">
        <v>0</v>
      </c>
      <c r="AK85" s="21">
        <v>0</v>
      </c>
      <c r="AL85" s="21">
        <v>0</v>
      </c>
      <c r="AM85" s="21">
        <v>0</v>
      </c>
      <c r="AN85" s="21">
        <v>0</v>
      </c>
      <c r="AO85" s="21">
        <v>0</v>
      </c>
      <c r="AP85" s="21">
        <v>0</v>
      </c>
      <c r="AQ85" s="21">
        <v>0</v>
      </c>
      <c r="AR85" s="21">
        <v>0</v>
      </c>
      <c r="AS85" s="21">
        <v>0</v>
      </c>
      <c r="AT85" s="21">
        <v>0</v>
      </c>
      <c r="AU85" s="21">
        <v>0</v>
      </c>
      <c r="AV85" s="21">
        <v>0</v>
      </c>
      <c r="AW85" s="21">
        <v>0</v>
      </c>
      <c r="AX85" s="21">
        <v>0</v>
      </c>
      <c r="AY85" s="21">
        <v>0</v>
      </c>
      <c r="AZ85" s="22">
        <v>0</v>
      </c>
      <c r="BA85" s="22" t="e">
        <f>MAX(#REF!-AZ85,0)</f>
        <v>#REF!</v>
      </c>
      <c r="BB85" s="23" t="e">
        <f>IF(SUMPRODUCT($J$85:BA$85,$J85:BA85)&lt;0.5, "Pending", IF(BA85&lt;0.5, "Complete", "In Progress"))</f>
        <v>#REF!</v>
      </c>
      <c r="BC85" s="22">
        <v>0</v>
      </c>
      <c r="BD85" s="22" t="e">
        <f t="shared" si="9"/>
        <v>#REF!</v>
      </c>
      <c r="BE85" s="23" t="e">
        <f>IF(SUMPRODUCT($J$85:BD$85,$J85:BD85)&lt;0.5, "Pending", IF(BD85&lt;0.5, "Complete", "In Progress"))</f>
        <v>#REF!</v>
      </c>
      <c r="BF85" s="22">
        <v>0</v>
      </c>
      <c r="BG85" s="22" t="e">
        <f t="shared" si="10"/>
        <v>#REF!</v>
      </c>
      <c r="BH85" s="23" t="e">
        <f>IF(SUMPRODUCT($J$85:BG$85,$J85:BG85)&lt;0.5, "Pending", IF(BG85&lt;0.5, "Complete", "In Progress"))</f>
        <v>#REF!</v>
      </c>
      <c r="BI85" s="22">
        <v>0</v>
      </c>
      <c r="BJ85" s="22" t="e">
        <f t="shared" si="11"/>
        <v>#REF!</v>
      </c>
      <c r="BK85" s="23" t="e">
        <f>IF(SUMPRODUCT($J$85:BJ$85,$J85:BJ85)&lt;0.5, "Pending", IF(BJ85&lt;0.5, "Complete", "In Progress"))</f>
        <v>#REF!</v>
      </c>
      <c r="BL85" s="22">
        <v>0</v>
      </c>
      <c r="BM85" s="22" t="e">
        <f t="shared" si="12"/>
        <v>#REF!</v>
      </c>
      <c r="BN85" s="23" t="e">
        <f>IF(SUMPRODUCT($J$85:BM$85,$J85:BM85)&lt;0.5, "Pending", IF(BM85&lt;0.5, "Complete", "In Progress"))</f>
        <v>#REF!</v>
      </c>
      <c r="BO85" s="22">
        <v>0</v>
      </c>
      <c r="BP85" s="22" t="e">
        <f t="shared" si="13"/>
        <v>#REF!</v>
      </c>
      <c r="BQ85" s="23" t="e">
        <f>IF(SUMPRODUCT($J$85:BP$85,$J85:BP85)&lt;0.5, "Pending", IF(BP85&lt;0.5, "Complete", "In Progress"))</f>
        <v>#REF!</v>
      </c>
      <c r="BR85" s="22">
        <v>0</v>
      </c>
      <c r="BS85" s="22" t="e">
        <f t="shared" si="14"/>
        <v>#REF!</v>
      </c>
      <c r="BT85" s="23" t="e">
        <f>IF(SUMPRODUCT($J$85:BS$85,$J85:BS85)&lt;0.5, "Pending", IF(BS85&lt;0.5, "Complete", "In Progress"))</f>
        <v>#REF!</v>
      </c>
      <c r="BU85" s="22">
        <v>0</v>
      </c>
      <c r="BV85" s="22" t="e">
        <f t="shared" si="15"/>
        <v>#REF!</v>
      </c>
      <c r="BW85" s="23" t="e">
        <f>IF(SUMPRODUCT($J$85:BV$85,$J85:BV85)&lt;0.5, "Pending", IF(BV85&lt;0.5, "Complete", "In Progress"))</f>
        <v>#REF!</v>
      </c>
      <c r="BX85" s="22">
        <v>0</v>
      </c>
      <c r="BY85" s="22" t="e">
        <f t="shared" si="16"/>
        <v>#REF!</v>
      </c>
      <c r="BZ85" s="23" t="e">
        <f>IF(SUMPRODUCT($J$85:BY$85,$J85:BY85)&lt;0.5, "Pending", IF(BY85&lt;0.5, "Complete", "In Progress"))</f>
        <v>#REF!</v>
      </c>
      <c r="CA85" s="22">
        <v>0</v>
      </c>
      <c r="CB85" s="22" t="e">
        <f t="shared" si="17"/>
        <v>#REF!</v>
      </c>
      <c r="CC85" s="23" t="e">
        <f>IF(SUMPRODUCT($J$85:CB$85,$J85:CB85)&lt;0.5, "Pending", IF(CB85&lt;0.5, "Complete", "In Progress"))</f>
        <v>#REF!</v>
      </c>
      <c r="CD85" s="24"/>
      <c r="CE85" s="25">
        <f>SUMPRODUCT($H$85:AY$85,$H85:AY85)</f>
        <v>50</v>
      </c>
    </row>
    <row r="86" spans="1:83" ht="13.8" customHeight="1" x14ac:dyDescent="0.25">
      <c r="A86" s="16" t="s">
        <v>103</v>
      </c>
      <c r="B86" s="16" t="s">
        <v>110</v>
      </c>
      <c r="C86" s="16" t="s">
        <v>510</v>
      </c>
      <c r="D86" s="17" t="s">
        <v>204</v>
      </c>
      <c r="E86" s="158" t="s">
        <v>381</v>
      </c>
      <c r="F86" s="158" t="s">
        <v>498</v>
      </c>
      <c r="G86" s="19"/>
      <c r="H86" s="20">
        <v>1</v>
      </c>
      <c r="I86" s="21">
        <v>7</v>
      </c>
      <c r="J86" s="21">
        <v>0</v>
      </c>
      <c r="K86" s="21">
        <v>0</v>
      </c>
      <c r="L86" s="21">
        <v>0</v>
      </c>
      <c r="M86" s="21">
        <v>0</v>
      </c>
      <c r="N86" s="21">
        <v>0</v>
      </c>
      <c r="O86" s="21">
        <v>0</v>
      </c>
      <c r="P86" s="21">
        <v>0</v>
      </c>
      <c r="Q86" s="21">
        <v>0</v>
      </c>
      <c r="R86" s="21">
        <v>0</v>
      </c>
      <c r="S86" s="21">
        <v>0</v>
      </c>
      <c r="T86" s="21">
        <v>0</v>
      </c>
      <c r="U86" s="21">
        <v>0</v>
      </c>
      <c r="V86" s="21">
        <v>0</v>
      </c>
      <c r="W86" s="21">
        <v>0</v>
      </c>
      <c r="X86" s="21">
        <v>0</v>
      </c>
      <c r="Y86" s="21">
        <v>0</v>
      </c>
      <c r="Z86" s="21">
        <v>0</v>
      </c>
      <c r="AA86" s="21">
        <v>0</v>
      </c>
      <c r="AB86" s="21">
        <v>0</v>
      </c>
      <c r="AC86" s="21">
        <v>0</v>
      </c>
      <c r="AD86" s="21">
        <v>0</v>
      </c>
      <c r="AE86" s="21">
        <v>0</v>
      </c>
      <c r="AF86" s="21">
        <v>0</v>
      </c>
      <c r="AG86" s="21">
        <v>0</v>
      </c>
      <c r="AH86" s="21">
        <v>0</v>
      </c>
      <c r="AI86" s="21">
        <v>0</v>
      </c>
      <c r="AJ86" s="21">
        <v>0</v>
      </c>
      <c r="AK86" s="21">
        <v>0</v>
      </c>
      <c r="AL86" s="21">
        <v>0</v>
      </c>
      <c r="AM86" s="21">
        <v>0</v>
      </c>
      <c r="AN86" s="21">
        <v>0</v>
      </c>
      <c r="AO86" s="21">
        <v>0</v>
      </c>
      <c r="AP86" s="21">
        <v>0</v>
      </c>
      <c r="AQ86" s="21">
        <v>0</v>
      </c>
      <c r="AR86" s="21">
        <v>0</v>
      </c>
      <c r="AS86" s="21">
        <v>0</v>
      </c>
      <c r="AT86" s="21">
        <v>0</v>
      </c>
      <c r="AU86" s="21">
        <v>0</v>
      </c>
      <c r="AV86" s="21">
        <v>0</v>
      </c>
      <c r="AW86" s="21">
        <v>0</v>
      </c>
      <c r="AX86" s="21">
        <v>0</v>
      </c>
      <c r="AY86" s="21">
        <v>0</v>
      </c>
      <c r="AZ86" s="22">
        <v>0</v>
      </c>
      <c r="BA86" s="22" t="e">
        <f>MAX(#REF!-AZ86,0)</f>
        <v>#REF!</v>
      </c>
      <c r="BB86" s="23" t="e">
        <f>IF(SUMPRODUCT($J$85:BA$85,$J86:BA86)&lt;0.5, "Pending", IF(BA86&lt;0.5, "Complete", "In Progress"))</f>
        <v>#REF!</v>
      </c>
      <c r="BC86" s="22">
        <v>0</v>
      </c>
      <c r="BD86" s="22" t="e">
        <f t="shared" si="9"/>
        <v>#REF!</v>
      </c>
      <c r="BE86" s="23" t="e">
        <f>IF(SUMPRODUCT($J$85:BD$85,$J86:BD86)&lt;0.5, "Pending", IF(BD86&lt;0.5, "Complete", "In Progress"))</f>
        <v>#REF!</v>
      </c>
      <c r="BF86" s="22">
        <v>0</v>
      </c>
      <c r="BG86" s="22" t="e">
        <f t="shared" si="10"/>
        <v>#REF!</v>
      </c>
      <c r="BH86" s="23" t="e">
        <f>IF(SUMPRODUCT($J$85:BG$85,$J86:BG86)&lt;0.5, "Pending", IF(BG86&lt;0.5, "Complete", "In Progress"))</f>
        <v>#REF!</v>
      </c>
      <c r="BI86" s="22">
        <v>0</v>
      </c>
      <c r="BJ86" s="22" t="e">
        <f t="shared" si="11"/>
        <v>#REF!</v>
      </c>
      <c r="BK86" s="23" t="e">
        <f>IF(SUMPRODUCT($J$85:BJ$85,$J86:BJ86)&lt;0.5, "Pending", IF(BJ86&lt;0.5, "Complete", "In Progress"))</f>
        <v>#REF!</v>
      </c>
      <c r="BL86" s="22">
        <v>0</v>
      </c>
      <c r="BM86" s="22" t="e">
        <f t="shared" si="12"/>
        <v>#REF!</v>
      </c>
      <c r="BN86" s="23" t="e">
        <f>IF(SUMPRODUCT($J$85:BM$85,$J86:BM86)&lt;0.5, "Pending", IF(BM86&lt;0.5, "Complete", "In Progress"))</f>
        <v>#REF!</v>
      </c>
      <c r="BO86" s="22">
        <v>0</v>
      </c>
      <c r="BP86" s="22" t="e">
        <f t="shared" si="13"/>
        <v>#REF!</v>
      </c>
      <c r="BQ86" s="23" t="e">
        <f>IF(SUMPRODUCT($J$85:BP$85,$J86:BP86)&lt;0.5, "Pending", IF(BP86&lt;0.5, "Complete", "In Progress"))</f>
        <v>#REF!</v>
      </c>
      <c r="BR86" s="22">
        <v>0</v>
      </c>
      <c r="BS86" s="22" t="e">
        <f t="shared" si="14"/>
        <v>#REF!</v>
      </c>
      <c r="BT86" s="23" t="e">
        <f>IF(SUMPRODUCT($J$85:BS$85,$J86:BS86)&lt;0.5, "Pending", IF(BS86&lt;0.5, "Complete", "In Progress"))</f>
        <v>#REF!</v>
      </c>
      <c r="BU86" s="22">
        <v>0</v>
      </c>
      <c r="BV86" s="22" t="e">
        <f t="shared" si="15"/>
        <v>#REF!</v>
      </c>
      <c r="BW86" s="23" t="e">
        <f>IF(SUMPRODUCT($J$85:BV$85,$J86:BV86)&lt;0.5, "Pending", IF(BV86&lt;0.5, "Complete", "In Progress"))</f>
        <v>#REF!</v>
      </c>
      <c r="BX86" s="22">
        <v>0</v>
      </c>
      <c r="BY86" s="22" t="e">
        <f t="shared" si="16"/>
        <v>#REF!</v>
      </c>
      <c r="BZ86" s="23" t="e">
        <f>IF(SUMPRODUCT($J$85:BY$85,$J86:BY86)&lt;0.5, "Pending", IF(BY86&lt;0.5, "Complete", "In Progress"))</f>
        <v>#REF!</v>
      </c>
      <c r="CA86" s="22">
        <v>0</v>
      </c>
      <c r="CB86" s="22" t="e">
        <f t="shared" si="17"/>
        <v>#REF!</v>
      </c>
      <c r="CC86" s="23" t="e">
        <f>IF(SUMPRODUCT($J$85:CB$85,$J86:CB86)&lt;0.5, "Pending", IF(CB86&lt;0.5, "Complete", "In Progress"))</f>
        <v>#REF!</v>
      </c>
      <c r="CD86" s="24"/>
      <c r="CE86" s="25">
        <f>SUMPRODUCT($H$85:AY$85,$H86:AY86)</f>
        <v>50</v>
      </c>
    </row>
    <row r="87" spans="1:83" ht="13.8" customHeight="1" x14ac:dyDescent="0.25">
      <c r="A87" s="16" t="s">
        <v>103</v>
      </c>
      <c r="B87" s="16" t="s">
        <v>110</v>
      </c>
      <c r="C87" s="16" t="s">
        <v>510</v>
      </c>
      <c r="D87" s="17" t="s">
        <v>205</v>
      </c>
      <c r="E87" s="158" t="s">
        <v>382</v>
      </c>
      <c r="F87" s="158" t="s">
        <v>496</v>
      </c>
      <c r="G87" s="19"/>
      <c r="H87" s="20">
        <v>1</v>
      </c>
      <c r="I87" s="21">
        <v>7</v>
      </c>
      <c r="J87" s="21">
        <v>0</v>
      </c>
      <c r="K87" s="21">
        <v>0</v>
      </c>
      <c r="L87" s="21">
        <v>0</v>
      </c>
      <c r="M87" s="21">
        <v>0</v>
      </c>
      <c r="N87" s="21">
        <v>0</v>
      </c>
      <c r="O87" s="21">
        <v>0</v>
      </c>
      <c r="P87" s="21">
        <v>0</v>
      </c>
      <c r="Q87" s="21">
        <v>0</v>
      </c>
      <c r="R87" s="21">
        <v>0</v>
      </c>
      <c r="S87" s="21">
        <v>0</v>
      </c>
      <c r="T87" s="21">
        <v>0</v>
      </c>
      <c r="U87" s="21">
        <v>0</v>
      </c>
      <c r="V87" s="21">
        <v>0</v>
      </c>
      <c r="W87" s="21">
        <v>0</v>
      </c>
      <c r="X87" s="21">
        <v>0</v>
      </c>
      <c r="Y87" s="21">
        <v>0</v>
      </c>
      <c r="Z87" s="21">
        <v>0</v>
      </c>
      <c r="AA87" s="21">
        <v>0</v>
      </c>
      <c r="AB87" s="21">
        <v>0</v>
      </c>
      <c r="AC87" s="21">
        <v>0</v>
      </c>
      <c r="AD87" s="21">
        <v>0</v>
      </c>
      <c r="AE87" s="21">
        <v>0</v>
      </c>
      <c r="AF87" s="21">
        <v>0</v>
      </c>
      <c r="AG87" s="21">
        <v>0</v>
      </c>
      <c r="AH87" s="21">
        <v>0</v>
      </c>
      <c r="AI87" s="21">
        <v>0</v>
      </c>
      <c r="AJ87" s="21">
        <v>0</v>
      </c>
      <c r="AK87" s="21">
        <v>0</v>
      </c>
      <c r="AL87" s="21">
        <v>0</v>
      </c>
      <c r="AM87" s="21">
        <v>0</v>
      </c>
      <c r="AN87" s="21">
        <v>0</v>
      </c>
      <c r="AO87" s="21">
        <v>0</v>
      </c>
      <c r="AP87" s="21">
        <v>0</v>
      </c>
      <c r="AQ87" s="21">
        <v>0</v>
      </c>
      <c r="AR87" s="21">
        <v>0</v>
      </c>
      <c r="AS87" s="21">
        <v>0</v>
      </c>
      <c r="AT87" s="21">
        <v>0</v>
      </c>
      <c r="AU87" s="21">
        <v>0</v>
      </c>
      <c r="AV87" s="21">
        <v>0</v>
      </c>
      <c r="AW87" s="21">
        <v>0</v>
      </c>
      <c r="AX87" s="21">
        <v>0</v>
      </c>
      <c r="AY87" s="21">
        <v>0</v>
      </c>
      <c r="AZ87" s="22">
        <v>0</v>
      </c>
      <c r="BA87" s="22" t="e">
        <f>MAX(#REF!-AZ87,0)</f>
        <v>#REF!</v>
      </c>
      <c r="BB87" s="23" t="e">
        <f>IF(SUMPRODUCT($J$85:BA$85,$J87:BA87)&lt;0.5, "Pending", IF(BA87&lt;0.5, "Complete", "In Progress"))</f>
        <v>#REF!</v>
      </c>
      <c r="BC87" s="22">
        <v>0</v>
      </c>
      <c r="BD87" s="22" t="e">
        <f t="shared" si="9"/>
        <v>#REF!</v>
      </c>
      <c r="BE87" s="23" t="e">
        <f>IF(SUMPRODUCT($J$85:BD$85,$J87:BD87)&lt;0.5, "Pending", IF(BD87&lt;0.5, "Complete", "In Progress"))</f>
        <v>#REF!</v>
      </c>
      <c r="BF87" s="22">
        <v>0</v>
      </c>
      <c r="BG87" s="22" t="e">
        <f t="shared" si="10"/>
        <v>#REF!</v>
      </c>
      <c r="BH87" s="23" t="e">
        <f>IF(SUMPRODUCT($J$85:BG$85,$J87:BG87)&lt;0.5, "Pending", IF(BG87&lt;0.5, "Complete", "In Progress"))</f>
        <v>#REF!</v>
      </c>
      <c r="BI87" s="22">
        <v>0</v>
      </c>
      <c r="BJ87" s="22" t="e">
        <f t="shared" si="11"/>
        <v>#REF!</v>
      </c>
      <c r="BK87" s="23" t="e">
        <f>IF(SUMPRODUCT($J$85:BJ$85,$J87:BJ87)&lt;0.5, "Pending", IF(BJ87&lt;0.5, "Complete", "In Progress"))</f>
        <v>#REF!</v>
      </c>
      <c r="BL87" s="22">
        <v>0</v>
      </c>
      <c r="BM87" s="22" t="e">
        <f t="shared" si="12"/>
        <v>#REF!</v>
      </c>
      <c r="BN87" s="23" t="e">
        <f>IF(SUMPRODUCT($J$85:BM$85,$J87:BM87)&lt;0.5, "Pending", IF(BM87&lt;0.5, "Complete", "In Progress"))</f>
        <v>#REF!</v>
      </c>
      <c r="BO87" s="22">
        <v>0</v>
      </c>
      <c r="BP87" s="22" t="e">
        <f t="shared" si="13"/>
        <v>#REF!</v>
      </c>
      <c r="BQ87" s="23" t="e">
        <f>IF(SUMPRODUCT($J$85:BP$85,$J87:BP87)&lt;0.5, "Pending", IF(BP87&lt;0.5, "Complete", "In Progress"))</f>
        <v>#REF!</v>
      </c>
      <c r="BR87" s="22">
        <v>0</v>
      </c>
      <c r="BS87" s="22" t="e">
        <f t="shared" si="14"/>
        <v>#REF!</v>
      </c>
      <c r="BT87" s="23" t="e">
        <f>IF(SUMPRODUCT($J$85:BS$85,$J87:BS87)&lt;0.5, "Pending", IF(BS87&lt;0.5, "Complete", "In Progress"))</f>
        <v>#REF!</v>
      </c>
      <c r="BU87" s="22">
        <v>0</v>
      </c>
      <c r="BV87" s="22" t="e">
        <f t="shared" si="15"/>
        <v>#REF!</v>
      </c>
      <c r="BW87" s="23" t="e">
        <f>IF(SUMPRODUCT($J$85:BV$85,$J87:BV87)&lt;0.5, "Pending", IF(BV87&lt;0.5, "Complete", "In Progress"))</f>
        <v>#REF!</v>
      </c>
      <c r="BX87" s="22">
        <v>0</v>
      </c>
      <c r="BY87" s="22" t="e">
        <f t="shared" si="16"/>
        <v>#REF!</v>
      </c>
      <c r="BZ87" s="23" t="e">
        <f>IF(SUMPRODUCT($J$85:BY$85,$J87:BY87)&lt;0.5, "Pending", IF(BY87&lt;0.5, "Complete", "In Progress"))</f>
        <v>#REF!</v>
      </c>
      <c r="CA87" s="22">
        <v>0</v>
      </c>
      <c r="CB87" s="22" t="e">
        <f t="shared" si="17"/>
        <v>#REF!</v>
      </c>
      <c r="CC87" s="23" t="e">
        <f>IF(SUMPRODUCT($J$85:CB$85,$J87:CB87)&lt;0.5, "Pending", IF(CB87&lt;0.5, "Complete", "In Progress"))</f>
        <v>#REF!</v>
      </c>
      <c r="CD87" s="24"/>
      <c r="CE87" s="25">
        <f>SUMPRODUCT($H$85:AY$85,$H87:AY87)</f>
        <v>50</v>
      </c>
    </row>
    <row r="88" spans="1:83" ht="13.8" customHeight="1" x14ac:dyDescent="0.25">
      <c r="A88" s="16" t="s">
        <v>103</v>
      </c>
      <c r="B88" s="16" t="s">
        <v>117</v>
      </c>
      <c r="C88" s="16" t="s">
        <v>510</v>
      </c>
      <c r="D88" s="17" t="s">
        <v>206</v>
      </c>
      <c r="E88" s="158" t="s">
        <v>383</v>
      </c>
      <c r="F88" s="158" t="s">
        <v>495</v>
      </c>
      <c r="G88" s="169"/>
      <c r="H88" s="20">
        <v>1</v>
      </c>
      <c r="I88" s="21">
        <v>7</v>
      </c>
      <c r="J88" s="21">
        <v>0</v>
      </c>
      <c r="K88" s="21">
        <v>0</v>
      </c>
      <c r="L88" s="21">
        <v>0</v>
      </c>
      <c r="M88" s="21">
        <v>0</v>
      </c>
      <c r="N88" s="21">
        <v>0</v>
      </c>
      <c r="O88" s="21">
        <v>0</v>
      </c>
      <c r="P88" s="21">
        <v>0</v>
      </c>
      <c r="Q88" s="21">
        <v>0</v>
      </c>
      <c r="R88" s="21">
        <v>0</v>
      </c>
      <c r="S88" s="21">
        <v>0</v>
      </c>
      <c r="T88" s="21">
        <v>0</v>
      </c>
      <c r="U88" s="21">
        <v>0</v>
      </c>
      <c r="V88" s="21">
        <v>0</v>
      </c>
      <c r="W88" s="21">
        <v>0</v>
      </c>
      <c r="X88" s="21">
        <v>0</v>
      </c>
      <c r="Y88" s="21">
        <v>0</v>
      </c>
      <c r="Z88" s="21">
        <v>0</v>
      </c>
      <c r="AA88" s="21">
        <v>0</v>
      </c>
      <c r="AB88" s="21">
        <v>0</v>
      </c>
      <c r="AC88" s="21">
        <v>0</v>
      </c>
      <c r="AD88" s="21">
        <v>0</v>
      </c>
      <c r="AE88" s="21">
        <v>0</v>
      </c>
      <c r="AF88" s="21">
        <v>0</v>
      </c>
      <c r="AG88" s="21">
        <v>0</v>
      </c>
      <c r="AH88" s="21">
        <v>0</v>
      </c>
      <c r="AI88" s="21">
        <v>0</v>
      </c>
      <c r="AJ88" s="21">
        <v>0</v>
      </c>
      <c r="AK88" s="21">
        <v>0</v>
      </c>
      <c r="AL88" s="21">
        <v>0</v>
      </c>
      <c r="AM88" s="21">
        <v>0</v>
      </c>
      <c r="AN88" s="21">
        <v>0</v>
      </c>
      <c r="AO88" s="21">
        <v>0</v>
      </c>
      <c r="AP88" s="21">
        <v>0</v>
      </c>
      <c r="AQ88" s="21">
        <v>0</v>
      </c>
      <c r="AR88" s="21">
        <v>0</v>
      </c>
      <c r="AS88" s="21">
        <v>0</v>
      </c>
      <c r="AT88" s="21">
        <v>0</v>
      </c>
      <c r="AU88" s="21">
        <v>0</v>
      </c>
      <c r="AV88" s="21">
        <v>0</v>
      </c>
      <c r="AW88" s="21">
        <v>0</v>
      </c>
      <c r="AX88" s="21">
        <v>0</v>
      </c>
      <c r="AY88" s="21">
        <v>0</v>
      </c>
      <c r="AZ88" s="22">
        <v>0</v>
      </c>
      <c r="BA88" s="22" t="e">
        <f>MAX(#REF!-AZ88,0)</f>
        <v>#REF!</v>
      </c>
      <c r="BB88" s="23" t="e">
        <f>IF(SUMPRODUCT($J$85:BA$85,$J88:BA88)&lt;0.5, "Pending", IF(BA88&lt;0.5, "Complete", "In Progress"))</f>
        <v>#REF!</v>
      </c>
      <c r="BC88" s="22">
        <v>0</v>
      </c>
      <c r="BD88" s="22" t="e">
        <f t="shared" si="9"/>
        <v>#REF!</v>
      </c>
      <c r="BE88" s="23" t="e">
        <f>IF(SUMPRODUCT($J$85:BD$85,$J88:BD88)&lt;0.5, "Pending", IF(BD88&lt;0.5, "Complete", "In Progress"))</f>
        <v>#REF!</v>
      </c>
      <c r="BF88" s="22">
        <v>0</v>
      </c>
      <c r="BG88" s="22" t="e">
        <f t="shared" si="10"/>
        <v>#REF!</v>
      </c>
      <c r="BH88" s="23" t="e">
        <f>IF(SUMPRODUCT($J$85:BG$85,$J88:BG88)&lt;0.5, "Pending", IF(BG88&lt;0.5, "Complete", "In Progress"))</f>
        <v>#REF!</v>
      </c>
      <c r="BI88" s="22">
        <v>0</v>
      </c>
      <c r="BJ88" s="22" t="e">
        <f t="shared" si="11"/>
        <v>#REF!</v>
      </c>
      <c r="BK88" s="23" t="e">
        <f>IF(SUMPRODUCT($J$85:BJ$85,$J88:BJ88)&lt;0.5, "Pending", IF(BJ88&lt;0.5, "Complete", "In Progress"))</f>
        <v>#REF!</v>
      </c>
      <c r="BL88" s="22">
        <v>0</v>
      </c>
      <c r="BM88" s="22" t="e">
        <f t="shared" si="12"/>
        <v>#REF!</v>
      </c>
      <c r="BN88" s="23" t="e">
        <f>IF(SUMPRODUCT($J$85:BM$85,$J88:BM88)&lt;0.5, "Pending", IF(BM88&lt;0.5, "Complete", "In Progress"))</f>
        <v>#REF!</v>
      </c>
      <c r="BO88" s="22">
        <v>0</v>
      </c>
      <c r="BP88" s="22" t="e">
        <f t="shared" si="13"/>
        <v>#REF!</v>
      </c>
      <c r="BQ88" s="23" t="e">
        <f>IF(SUMPRODUCT($J$85:BP$85,$J88:BP88)&lt;0.5, "Pending", IF(BP88&lt;0.5, "Complete", "In Progress"))</f>
        <v>#REF!</v>
      </c>
      <c r="BR88" s="22">
        <v>0</v>
      </c>
      <c r="BS88" s="22" t="e">
        <f t="shared" si="14"/>
        <v>#REF!</v>
      </c>
      <c r="BT88" s="23" t="e">
        <f>IF(SUMPRODUCT($J$85:BS$85,$J88:BS88)&lt;0.5, "Pending", IF(BS88&lt;0.5, "Complete", "In Progress"))</f>
        <v>#REF!</v>
      </c>
      <c r="BU88" s="22">
        <v>0</v>
      </c>
      <c r="BV88" s="22" t="e">
        <f t="shared" si="15"/>
        <v>#REF!</v>
      </c>
      <c r="BW88" s="23" t="e">
        <f>IF(SUMPRODUCT($J$85:BV$85,$J88:BV88)&lt;0.5, "Pending", IF(BV88&lt;0.5, "Complete", "In Progress"))</f>
        <v>#REF!</v>
      </c>
      <c r="BX88" s="22">
        <v>0</v>
      </c>
      <c r="BY88" s="22" t="e">
        <f t="shared" si="16"/>
        <v>#REF!</v>
      </c>
      <c r="BZ88" s="23" t="e">
        <f>IF(SUMPRODUCT($J$85:BY$85,$J88:BY88)&lt;0.5, "Pending", IF(BY88&lt;0.5, "Complete", "In Progress"))</f>
        <v>#REF!</v>
      </c>
      <c r="CA88" s="22">
        <v>0</v>
      </c>
      <c r="CB88" s="22" t="e">
        <f t="shared" si="17"/>
        <v>#REF!</v>
      </c>
      <c r="CC88" s="23" t="e">
        <f>IF(SUMPRODUCT($J$85:CB$85,$J88:CB88)&lt;0.5, "Pending", IF(CB88&lt;0.5, "Complete", "In Progress"))</f>
        <v>#REF!</v>
      </c>
      <c r="CD88" s="24"/>
      <c r="CE88" s="25">
        <f>SUMPRODUCT($H$85:AY$85,$H88:AY88)</f>
        <v>50</v>
      </c>
    </row>
    <row r="89" spans="1:83" ht="13.8" customHeight="1" x14ac:dyDescent="0.25">
      <c r="A89" s="16" t="s">
        <v>103</v>
      </c>
      <c r="B89" s="16" t="s">
        <v>108</v>
      </c>
      <c r="C89" s="16" t="s">
        <v>510</v>
      </c>
      <c r="D89" s="17" t="s">
        <v>207</v>
      </c>
      <c r="E89" s="158" t="s">
        <v>384</v>
      </c>
      <c r="F89" s="158" t="s">
        <v>493</v>
      </c>
      <c r="G89" s="168"/>
      <c r="H89" s="20">
        <v>1</v>
      </c>
      <c r="I89" s="21">
        <v>56</v>
      </c>
      <c r="J89" s="21">
        <v>0</v>
      </c>
      <c r="K89" s="21">
        <v>0</v>
      </c>
      <c r="L89" s="21">
        <v>0</v>
      </c>
      <c r="M89" s="21">
        <v>0</v>
      </c>
      <c r="N89" s="21">
        <v>0</v>
      </c>
      <c r="O89" s="21">
        <v>0</v>
      </c>
      <c r="P89" s="21">
        <v>0</v>
      </c>
      <c r="Q89" s="21">
        <v>0</v>
      </c>
      <c r="R89" s="21">
        <v>0</v>
      </c>
      <c r="S89" s="21">
        <v>0</v>
      </c>
      <c r="T89" s="21">
        <v>0</v>
      </c>
      <c r="U89" s="21">
        <v>0</v>
      </c>
      <c r="V89" s="21">
        <v>0</v>
      </c>
      <c r="W89" s="21">
        <v>0</v>
      </c>
      <c r="X89" s="21">
        <v>0</v>
      </c>
      <c r="Y89" s="21">
        <v>0</v>
      </c>
      <c r="Z89" s="21">
        <v>0</v>
      </c>
      <c r="AA89" s="21">
        <v>0</v>
      </c>
      <c r="AB89" s="21">
        <v>0</v>
      </c>
      <c r="AC89" s="21">
        <v>0</v>
      </c>
      <c r="AD89" s="21">
        <v>0</v>
      </c>
      <c r="AE89" s="21">
        <v>0</v>
      </c>
      <c r="AF89" s="21">
        <v>0</v>
      </c>
      <c r="AG89" s="21">
        <v>0</v>
      </c>
      <c r="AH89" s="21">
        <v>0</v>
      </c>
      <c r="AI89" s="21">
        <v>0</v>
      </c>
      <c r="AJ89" s="21">
        <v>0</v>
      </c>
      <c r="AK89" s="21">
        <v>0</v>
      </c>
      <c r="AL89" s="21">
        <v>0</v>
      </c>
      <c r="AM89" s="21">
        <v>0</v>
      </c>
      <c r="AN89" s="21">
        <v>0</v>
      </c>
      <c r="AO89" s="21">
        <v>0</v>
      </c>
      <c r="AP89" s="21">
        <v>0</v>
      </c>
      <c r="AQ89" s="21">
        <v>0</v>
      </c>
      <c r="AR89" s="21">
        <v>0</v>
      </c>
      <c r="AS89" s="21">
        <v>0</v>
      </c>
      <c r="AT89" s="21">
        <v>0</v>
      </c>
      <c r="AU89" s="21">
        <v>0</v>
      </c>
      <c r="AV89" s="21">
        <v>0</v>
      </c>
      <c r="AW89" s="21">
        <v>0</v>
      </c>
      <c r="AX89" s="21">
        <v>0</v>
      </c>
      <c r="AY89" s="21">
        <v>0</v>
      </c>
      <c r="AZ89" s="22">
        <v>0</v>
      </c>
      <c r="BA89" s="22" t="e">
        <f>MAX(#REF!-AZ89,0)</f>
        <v>#REF!</v>
      </c>
      <c r="BB89" s="23" t="e">
        <f>IF(SUMPRODUCT($J$85:BA$85,$J89:BA89)&lt;0.5, "Pending", IF(BA89&lt;0.5, "Complete", "In Progress"))</f>
        <v>#REF!</v>
      </c>
      <c r="BC89" s="22">
        <v>0</v>
      </c>
      <c r="BD89" s="22" t="e">
        <f t="shared" si="9"/>
        <v>#REF!</v>
      </c>
      <c r="BE89" s="23" t="e">
        <f>IF(SUMPRODUCT($J$85:BD$85,$J89:BD89)&lt;0.5, "Pending", IF(BD89&lt;0.5, "Complete", "In Progress"))</f>
        <v>#REF!</v>
      </c>
      <c r="BF89" s="22">
        <v>0</v>
      </c>
      <c r="BG89" s="22" t="e">
        <f t="shared" si="10"/>
        <v>#REF!</v>
      </c>
      <c r="BH89" s="23" t="e">
        <f>IF(SUMPRODUCT($J$85:BG$85,$J89:BG89)&lt;0.5, "Pending", IF(BG89&lt;0.5, "Complete", "In Progress"))</f>
        <v>#REF!</v>
      </c>
      <c r="BI89" s="22">
        <v>0</v>
      </c>
      <c r="BJ89" s="22" t="e">
        <f t="shared" si="11"/>
        <v>#REF!</v>
      </c>
      <c r="BK89" s="23" t="e">
        <f>IF(SUMPRODUCT($J$85:BJ$85,$J89:BJ89)&lt;0.5, "Pending", IF(BJ89&lt;0.5, "Complete", "In Progress"))</f>
        <v>#REF!</v>
      </c>
      <c r="BL89" s="22">
        <v>0</v>
      </c>
      <c r="BM89" s="22" t="e">
        <f t="shared" si="12"/>
        <v>#REF!</v>
      </c>
      <c r="BN89" s="23" t="e">
        <f>IF(SUMPRODUCT($J$85:BM$85,$J89:BM89)&lt;0.5, "Pending", IF(BM89&lt;0.5, "Complete", "In Progress"))</f>
        <v>#REF!</v>
      </c>
      <c r="BO89" s="22">
        <v>0</v>
      </c>
      <c r="BP89" s="22" t="e">
        <f t="shared" si="13"/>
        <v>#REF!</v>
      </c>
      <c r="BQ89" s="23" t="e">
        <f>IF(SUMPRODUCT($J$85:BP$85,$J89:BP89)&lt;0.5, "Pending", IF(BP89&lt;0.5, "Complete", "In Progress"))</f>
        <v>#REF!</v>
      </c>
      <c r="BR89" s="22">
        <v>0</v>
      </c>
      <c r="BS89" s="22" t="e">
        <f t="shared" si="14"/>
        <v>#REF!</v>
      </c>
      <c r="BT89" s="23" t="e">
        <f>IF(SUMPRODUCT($J$85:BS$85,$J89:BS89)&lt;0.5, "Pending", IF(BS89&lt;0.5, "Complete", "In Progress"))</f>
        <v>#REF!</v>
      </c>
      <c r="BU89" s="22">
        <v>0</v>
      </c>
      <c r="BV89" s="22" t="e">
        <f t="shared" si="15"/>
        <v>#REF!</v>
      </c>
      <c r="BW89" s="23" t="e">
        <f>IF(SUMPRODUCT($J$85:BV$85,$J89:BV89)&lt;0.5, "Pending", IF(BV89&lt;0.5, "Complete", "In Progress"))</f>
        <v>#REF!</v>
      </c>
      <c r="BX89" s="22">
        <v>0</v>
      </c>
      <c r="BY89" s="22" t="e">
        <f t="shared" si="16"/>
        <v>#REF!</v>
      </c>
      <c r="BZ89" s="23" t="e">
        <f>IF(SUMPRODUCT($J$85:BY$85,$J89:BY89)&lt;0.5, "Pending", IF(BY89&lt;0.5, "Complete", "In Progress"))</f>
        <v>#REF!</v>
      </c>
      <c r="CA89" s="22">
        <v>0</v>
      </c>
      <c r="CB89" s="22" t="e">
        <f t="shared" si="17"/>
        <v>#REF!</v>
      </c>
      <c r="CC89" s="23" t="e">
        <f>IF(SUMPRODUCT($J$85:CB$85,$J89:CB89)&lt;0.5, "Pending", IF(CB89&lt;0.5, "Complete", "In Progress"))</f>
        <v>#REF!</v>
      </c>
      <c r="CD89" s="24"/>
      <c r="CE89" s="25">
        <f>SUMPRODUCT($H$85:AY$85,$H89:AY89)</f>
        <v>393</v>
      </c>
    </row>
    <row r="90" spans="1:83" ht="13.8" customHeight="1" x14ac:dyDescent="0.25">
      <c r="A90" s="16" t="s">
        <v>103</v>
      </c>
      <c r="B90" s="16" t="s">
        <v>108</v>
      </c>
      <c r="C90" s="16" t="s">
        <v>510</v>
      </c>
      <c r="D90" s="17" t="s">
        <v>208</v>
      </c>
      <c r="E90" s="158" t="s">
        <v>385</v>
      </c>
      <c r="F90" s="158" t="s">
        <v>494</v>
      </c>
      <c r="G90" s="19"/>
      <c r="H90" s="20">
        <v>1</v>
      </c>
      <c r="I90" s="21">
        <v>7</v>
      </c>
      <c r="J90" s="21">
        <v>0</v>
      </c>
      <c r="K90" s="21">
        <v>0</v>
      </c>
      <c r="L90" s="21">
        <v>0</v>
      </c>
      <c r="M90" s="21">
        <v>0</v>
      </c>
      <c r="N90" s="21">
        <v>0</v>
      </c>
      <c r="O90" s="21">
        <v>0</v>
      </c>
      <c r="P90" s="21">
        <v>0</v>
      </c>
      <c r="Q90" s="21">
        <v>0</v>
      </c>
      <c r="R90" s="21">
        <v>0</v>
      </c>
      <c r="S90" s="21">
        <v>0</v>
      </c>
      <c r="T90" s="21">
        <v>0</v>
      </c>
      <c r="U90" s="21">
        <v>0</v>
      </c>
      <c r="V90" s="21">
        <v>0</v>
      </c>
      <c r="W90" s="21">
        <v>0</v>
      </c>
      <c r="X90" s="21">
        <v>0</v>
      </c>
      <c r="Y90" s="21">
        <v>0</v>
      </c>
      <c r="Z90" s="21">
        <v>0</v>
      </c>
      <c r="AA90" s="21">
        <v>0</v>
      </c>
      <c r="AB90" s="21">
        <v>0</v>
      </c>
      <c r="AC90" s="21">
        <v>0</v>
      </c>
      <c r="AD90" s="21">
        <v>0</v>
      </c>
      <c r="AE90" s="21">
        <v>0</v>
      </c>
      <c r="AF90" s="21">
        <v>0</v>
      </c>
      <c r="AG90" s="21">
        <v>0</v>
      </c>
      <c r="AH90" s="21">
        <v>0</v>
      </c>
      <c r="AI90" s="21">
        <v>0</v>
      </c>
      <c r="AJ90" s="21">
        <v>0</v>
      </c>
      <c r="AK90" s="21">
        <v>0</v>
      </c>
      <c r="AL90" s="21">
        <v>0</v>
      </c>
      <c r="AM90" s="21">
        <v>0</v>
      </c>
      <c r="AN90" s="21">
        <v>0</v>
      </c>
      <c r="AO90" s="21">
        <v>0</v>
      </c>
      <c r="AP90" s="21">
        <v>0</v>
      </c>
      <c r="AQ90" s="21">
        <v>0</v>
      </c>
      <c r="AR90" s="21">
        <v>0</v>
      </c>
      <c r="AS90" s="21">
        <v>0</v>
      </c>
      <c r="AT90" s="21">
        <v>0</v>
      </c>
      <c r="AU90" s="21">
        <v>0</v>
      </c>
      <c r="AV90" s="21">
        <v>0</v>
      </c>
      <c r="AW90" s="21">
        <v>0</v>
      </c>
      <c r="AX90" s="21">
        <v>0</v>
      </c>
      <c r="AY90" s="21">
        <v>0</v>
      </c>
      <c r="AZ90" s="22">
        <v>0</v>
      </c>
      <c r="BA90" s="22" t="e">
        <f>MAX(#REF!-AZ90,0)</f>
        <v>#REF!</v>
      </c>
      <c r="BB90" s="23" t="e">
        <f>IF(SUMPRODUCT($J$85:BA$85,$J90:BA90)&lt;0.5, "Pending", IF(BA90&lt;0.5, "Complete", "In Progress"))</f>
        <v>#REF!</v>
      </c>
      <c r="BC90" s="22">
        <v>0</v>
      </c>
      <c r="BD90" s="22" t="e">
        <f t="shared" si="9"/>
        <v>#REF!</v>
      </c>
      <c r="BE90" s="23" t="e">
        <f>IF(SUMPRODUCT($J$85:BD$85,$J90:BD90)&lt;0.5, "Pending", IF(BD90&lt;0.5, "Complete", "In Progress"))</f>
        <v>#REF!</v>
      </c>
      <c r="BF90" s="22">
        <v>0</v>
      </c>
      <c r="BG90" s="22" t="e">
        <f t="shared" si="10"/>
        <v>#REF!</v>
      </c>
      <c r="BH90" s="23" t="e">
        <f>IF(SUMPRODUCT($J$85:BG$85,$J90:BG90)&lt;0.5, "Pending", IF(BG90&lt;0.5, "Complete", "In Progress"))</f>
        <v>#REF!</v>
      </c>
      <c r="BI90" s="22">
        <v>0</v>
      </c>
      <c r="BJ90" s="22" t="e">
        <f t="shared" si="11"/>
        <v>#REF!</v>
      </c>
      <c r="BK90" s="23" t="e">
        <f>IF(SUMPRODUCT($J$85:BJ$85,$J90:BJ90)&lt;0.5, "Pending", IF(BJ90&lt;0.5, "Complete", "In Progress"))</f>
        <v>#REF!</v>
      </c>
      <c r="BL90" s="22">
        <v>0</v>
      </c>
      <c r="BM90" s="22" t="e">
        <f t="shared" si="12"/>
        <v>#REF!</v>
      </c>
      <c r="BN90" s="23" t="e">
        <f>IF(SUMPRODUCT($J$85:BM$85,$J90:BM90)&lt;0.5, "Pending", IF(BM90&lt;0.5, "Complete", "In Progress"))</f>
        <v>#REF!</v>
      </c>
      <c r="BO90" s="22">
        <v>0</v>
      </c>
      <c r="BP90" s="22" t="e">
        <f t="shared" si="13"/>
        <v>#REF!</v>
      </c>
      <c r="BQ90" s="23" t="e">
        <f>IF(SUMPRODUCT($J$85:BP$85,$J90:BP90)&lt;0.5, "Pending", IF(BP90&lt;0.5, "Complete", "In Progress"))</f>
        <v>#REF!</v>
      </c>
      <c r="BR90" s="22">
        <v>0</v>
      </c>
      <c r="BS90" s="22" t="e">
        <f t="shared" si="14"/>
        <v>#REF!</v>
      </c>
      <c r="BT90" s="23" t="e">
        <f>IF(SUMPRODUCT($J$85:BS$85,$J90:BS90)&lt;0.5, "Pending", IF(BS90&lt;0.5, "Complete", "In Progress"))</f>
        <v>#REF!</v>
      </c>
      <c r="BU90" s="22">
        <v>0</v>
      </c>
      <c r="BV90" s="22" t="e">
        <f t="shared" si="15"/>
        <v>#REF!</v>
      </c>
      <c r="BW90" s="23" t="e">
        <f>IF(SUMPRODUCT($J$85:BV$85,$J90:BV90)&lt;0.5, "Pending", IF(BV90&lt;0.5, "Complete", "In Progress"))</f>
        <v>#REF!</v>
      </c>
      <c r="BX90" s="22">
        <v>0</v>
      </c>
      <c r="BY90" s="22" t="e">
        <f t="shared" si="16"/>
        <v>#REF!</v>
      </c>
      <c r="BZ90" s="23" t="e">
        <f>IF(SUMPRODUCT($J$85:BY$85,$J90:BY90)&lt;0.5, "Pending", IF(BY90&lt;0.5, "Complete", "In Progress"))</f>
        <v>#REF!</v>
      </c>
      <c r="CA90" s="22">
        <v>0</v>
      </c>
      <c r="CB90" s="22" t="e">
        <f t="shared" si="17"/>
        <v>#REF!</v>
      </c>
      <c r="CC90" s="23" t="e">
        <f>IF(SUMPRODUCT($J$85:CB$85,$J90:CB90)&lt;0.5, "Pending", IF(CB90&lt;0.5, "Complete", "In Progress"))</f>
        <v>#REF!</v>
      </c>
      <c r="CD90" s="24"/>
      <c r="CE90" s="25">
        <f>SUMPRODUCT($H$85:AY$85,$H90:AY90)</f>
        <v>50</v>
      </c>
    </row>
    <row r="91" spans="1:83" ht="13.8" customHeight="1" x14ac:dyDescent="0.25">
      <c r="A91" s="16" t="s">
        <v>103</v>
      </c>
      <c r="B91" s="16" t="s">
        <v>118</v>
      </c>
      <c r="C91" s="16" t="s">
        <v>510</v>
      </c>
      <c r="D91" s="17" t="s">
        <v>209</v>
      </c>
      <c r="E91" s="158" t="s">
        <v>386</v>
      </c>
      <c r="F91" s="158" t="s">
        <v>497</v>
      </c>
      <c r="G91" s="19"/>
      <c r="H91" s="20">
        <v>1</v>
      </c>
      <c r="I91" s="21">
        <v>7</v>
      </c>
      <c r="J91" s="21">
        <v>0</v>
      </c>
      <c r="K91" s="21">
        <v>0</v>
      </c>
      <c r="L91" s="21">
        <v>0</v>
      </c>
      <c r="M91" s="21">
        <v>0</v>
      </c>
      <c r="N91" s="21">
        <v>0</v>
      </c>
      <c r="O91" s="21">
        <v>0</v>
      </c>
      <c r="P91" s="21">
        <v>0</v>
      </c>
      <c r="Q91" s="21">
        <v>0</v>
      </c>
      <c r="R91" s="21">
        <v>0</v>
      </c>
      <c r="S91" s="21">
        <v>0</v>
      </c>
      <c r="T91" s="21">
        <v>0</v>
      </c>
      <c r="U91" s="21">
        <v>0</v>
      </c>
      <c r="V91" s="21">
        <v>0</v>
      </c>
      <c r="W91" s="21">
        <v>0</v>
      </c>
      <c r="X91" s="21">
        <v>0</v>
      </c>
      <c r="Y91" s="21">
        <v>0</v>
      </c>
      <c r="Z91" s="21">
        <v>0</v>
      </c>
      <c r="AA91" s="21">
        <v>0</v>
      </c>
      <c r="AB91" s="21">
        <v>0</v>
      </c>
      <c r="AC91" s="21">
        <v>0</v>
      </c>
      <c r="AD91" s="21">
        <v>0</v>
      </c>
      <c r="AE91" s="21">
        <v>0</v>
      </c>
      <c r="AF91" s="21">
        <v>0</v>
      </c>
      <c r="AG91" s="21">
        <v>0</v>
      </c>
      <c r="AH91" s="21">
        <v>0</v>
      </c>
      <c r="AI91" s="21">
        <v>0</v>
      </c>
      <c r="AJ91" s="21">
        <v>0</v>
      </c>
      <c r="AK91" s="21">
        <v>0</v>
      </c>
      <c r="AL91" s="21">
        <v>0</v>
      </c>
      <c r="AM91" s="21">
        <v>0</v>
      </c>
      <c r="AN91" s="21">
        <v>0</v>
      </c>
      <c r="AO91" s="21">
        <v>0</v>
      </c>
      <c r="AP91" s="21">
        <v>0</v>
      </c>
      <c r="AQ91" s="21">
        <v>0</v>
      </c>
      <c r="AR91" s="21">
        <v>0</v>
      </c>
      <c r="AS91" s="21">
        <v>0</v>
      </c>
      <c r="AT91" s="21">
        <v>0</v>
      </c>
      <c r="AU91" s="21">
        <v>0</v>
      </c>
      <c r="AV91" s="21">
        <v>0</v>
      </c>
      <c r="AW91" s="21">
        <v>0</v>
      </c>
      <c r="AX91" s="21">
        <v>0</v>
      </c>
      <c r="AY91" s="21">
        <v>0</v>
      </c>
      <c r="AZ91" s="22">
        <v>0</v>
      </c>
      <c r="BA91" s="22" t="e">
        <f>MAX(#REF!-AZ91,0)</f>
        <v>#REF!</v>
      </c>
      <c r="BB91" s="23" t="e">
        <f>IF(SUMPRODUCT($J$85:BA$85,$J91:BA91)&lt;0.5, "Pending", IF(BA91&lt;0.5, "Complete", "In Progress"))</f>
        <v>#REF!</v>
      </c>
      <c r="BC91" s="22">
        <v>0</v>
      </c>
      <c r="BD91" s="22" t="e">
        <f t="shared" si="9"/>
        <v>#REF!</v>
      </c>
      <c r="BE91" s="23" t="e">
        <f>IF(SUMPRODUCT($J$85:BD$85,$J91:BD91)&lt;0.5, "Pending", IF(BD91&lt;0.5, "Complete", "In Progress"))</f>
        <v>#REF!</v>
      </c>
      <c r="BF91" s="22">
        <v>0</v>
      </c>
      <c r="BG91" s="22" t="e">
        <f t="shared" si="10"/>
        <v>#REF!</v>
      </c>
      <c r="BH91" s="23" t="e">
        <f>IF(SUMPRODUCT($J$85:BG$85,$J91:BG91)&lt;0.5, "Pending", IF(BG91&lt;0.5, "Complete", "In Progress"))</f>
        <v>#REF!</v>
      </c>
      <c r="BI91" s="22">
        <v>0</v>
      </c>
      <c r="BJ91" s="22" t="e">
        <f t="shared" si="11"/>
        <v>#REF!</v>
      </c>
      <c r="BK91" s="23" t="e">
        <f>IF(SUMPRODUCT($J$85:BJ$85,$J91:BJ91)&lt;0.5, "Pending", IF(BJ91&lt;0.5, "Complete", "In Progress"))</f>
        <v>#REF!</v>
      </c>
      <c r="BL91" s="22">
        <v>0</v>
      </c>
      <c r="BM91" s="22" t="e">
        <f t="shared" si="12"/>
        <v>#REF!</v>
      </c>
      <c r="BN91" s="23" t="e">
        <f>IF(SUMPRODUCT($J$85:BM$85,$J91:BM91)&lt;0.5, "Pending", IF(BM91&lt;0.5, "Complete", "In Progress"))</f>
        <v>#REF!</v>
      </c>
      <c r="BO91" s="22">
        <v>0</v>
      </c>
      <c r="BP91" s="22" t="e">
        <f t="shared" si="13"/>
        <v>#REF!</v>
      </c>
      <c r="BQ91" s="23" t="e">
        <f>IF(SUMPRODUCT($J$85:BP$85,$J91:BP91)&lt;0.5, "Pending", IF(BP91&lt;0.5, "Complete", "In Progress"))</f>
        <v>#REF!</v>
      </c>
      <c r="BR91" s="22">
        <v>0</v>
      </c>
      <c r="BS91" s="22" t="e">
        <f t="shared" si="14"/>
        <v>#REF!</v>
      </c>
      <c r="BT91" s="23" t="e">
        <f>IF(SUMPRODUCT($J$85:BS$85,$J91:BS91)&lt;0.5, "Pending", IF(BS91&lt;0.5, "Complete", "In Progress"))</f>
        <v>#REF!</v>
      </c>
      <c r="BU91" s="22">
        <v>0</v>
      </c>
      <c r="BV91" s="22" t="e">
        <f t="shared" si="15"/>
        <v>#REF!</v>
      </c>
      <c r="BW91" s="23" t="e">
        <f>IF(SUMPRODUCT($J$85:BV$85,$J91:BV91)&lt;0.5, "Pending", IF(BV91&lt;0.5, "Complete", "In Progress"))</f>
        <v>#REF!</v>
      </c>
      <c r="BX91" s="22">
        <v>0</v>
      </c>
      <c r="BY91" s="22" t="e">
        <f t="shared" si="16"/>
        <v>#REF!</v>
      </c>
      <c r="BZ91" s="23" t="e">
        <f>IF(SUMPRODUCT($J$85:BY$85,$J91:BY91)&lt;0.5, "Pending", IF(BY91&lt;0.5, "Complete", "In Progress"))</f>
        <v>#REF!</v>
      </c>
      <c r="CA91" s="22">
        <v>0</v>
      </c>
      <c r="CB91" s="22" t="e">
        <f t="shared" si="17"/>
        <v>#REF!</v>
      </c>
      <c r="CC91" s="23" t="e">
        <f>IF(SUMPRODUCT($J$85:CB$85,$J91:CB91)&lt;0.5, "Pending", IF(CB91&lt;0.5, "Complete", "In Progress"))</f>
        <v>#REF!</v>
      </c>
      <c r="CD91" s="24"/>
      <c r="CE91" s="25">
        <f>SUMPRODUCT($H$85:AY$85,$H91:AY91)</f>
        <v>50</v>
      </c>
    </row>
    <row r="92" spans="1:83" ht="13.8" customHeight="1" x14ac:dyDescent="0.25">
      <c r="A92" s="16" t="s">
        <v>103</v>
      </c>
      <c r="B92" s="16" t="s">
        <v>110</v>
      </c>
      <c r="C92" s="16" t="s">
        <v>510</v>
      </c>
      <c r="D92" s="17" t="s">
        <v>210</v>
      </c>
      <c r="E92" s="158" t="s">
        <v>387</v>
      </c>
      <c r="F92" s="158" t="s">
        <v>498</v>
      </c>
      <c r="G92" s="19"/>
      <c r="H92" s="20">
        <v>1</v>
      </c>
      <c r="I92" s="21">
        <v>7</v>
      </c>
      <c r="J92" s="21">
        <v>0</v>
      </c>
      <c r="K92" s="21">
        <v>0</v>
      </c>
      <c r="L92" s="21">
        <v>0</v>
      </c>
      <c r="M92" s="21">
        <v>0</v>
      </c>
      <c r="N92" s="21">
        <v>0</v>
      </c>
      <c r="O92" s="21">
        <v>0</v>
      </c>
      <c r="P92" s="21">
        <v>0</v>
      </c>
      <c r="Q92" s="21">
        <v>0</v>
      </c>
      <c r="R92" s="21">
        <v>0</v>
      </c>
      <c r="S92" s="21">
        <v>0</v>
      </c>
      <c r="T92" s="21">
        <v>0</v>
      </c>
      <c r="U92" s="21">
        <v>0</v>
      </c>
      <c r="V92" s="21">
        <v>0</v>
      </c>
      <c r="W92" s="21">
        <v>0</v>
      </c>
      <c r="X92" s="21">
        <v>0</v>
      </c>
      <c r="Y92" s="21">
        <v>0</v>
      </c>
      <c r="Z92" s="21">
        <v>0</v>
      </c>
      <c r="AA92" s="21">
        <v>0</v>
      </c>
      <c r="AB92" s="21">
        <v>0</v>
      </c>
      <c r="AC92" s="21">
        <v>0</v>
      </c>
      <c r="AD92" s="21">
        <v>0</v>
      </c>
      <c r="AE92" s="21">
        <v>0</v>
      </c>
      <c r="AF92" s="21">
        <v>0</v>
      </c>
      <c r="AG92" s="21">
        <v>0</v>
      </c>
      <c r="AH92" s="21">
        <v>0</v>
      </c>
      <c r="AI92" s="21">
        <v>0</v>
      </c>
      <c r="AJ92" s="21">
        <v>0</v>
      </c>
      <c r="AK92" s="21">
        <v>0</v>
      </c>
      <c r="AL92" s="21">
        <v>0</v>
      </c>
      <c r="AM92" s="21">
        <v>0</v>
      </c>
      <c r="AN92" s="21">
        <v>0</v>
      </c>
      <c r="AO92" s="21">
        <v>0</v>
      </c>
      <c r="AP92" s="21">
        <v>0</v>
      </c>
      <c r="AQ92" s="21">
        <v>0</v>
      </c>
      <c r="AR92" s="21">
        <v>0</v>
      </c>
      <c r="AS92" s="21">
        <v>0</v>
      </c>
      <c r="AT92" s="21">
        <v>0</v>
      </c>
      <c r="AU92" s="21">
        <v>0</v>
      </c>
      <c r="AV92" s="21">
        <v>0</v>
      </c>
      <c r="AW92" s="21">
        <v>0</v>
      </c>
      <c r="AX92" s="21">
        <v>0</v>
      </c>
      <c r="AY92" s="21">
        <v>0</v>
      </c>
      <c r="AZ92" s="22">
        <v>0</v>
      </c>
      <c r="BA92" s="22" t="e">
        <f>MAX(#REF!-AZ92,0)</f>
        <v>#REF!</v>
      </c>
      <c r="BB92" s="23" t="e">
        <f>IF(SUMPRODUCT($J$85:BA$85,$J92:BA92)&lt;0.5, "Pending", IF(BA92&lt;0.5, "Complete", "In Progress"))</f>
        <v>#REF!</v>
      </c>
      <c r="BC92" s="22">
        <v>0</v>
      </c>
      <c r="BD92" s="22" t="e">
        <f t="shared" si="9"/>
        <v>#REF!</v>
      </c>
      <c r="BE92" s="23" t="e">
        <f>IF(SUMPRODUCT($J$85:BD$85,$J92:BD92)&lt;0.5, "Pending", IF(BD92&lt;0.5, "Complete", "In Progress"))</f>
        <v>#REF!</v>
      </c>
      <c r="BF92" s="22">
        <v>0</v>
      </c>
      <c r="BG92" s="22" t="e">
        <f t="shared" si="10"/>
        <v>#REF!</v>
      </c>
      <c r="BH92" s="23" t="e">
        <f>IF(SUMPRODUCT($J$85:BG$85,$J92:BG92)&lt;0.5, "Pending", IF(BG92&lt;0.5, "Complete", "In Progress"))</f>
        <v>#REF!</v>
      </c>
      <c r="BI92" s="22">
        <v>0</v>
      </c>
      <c r="BJ92" s="22" t="e">
        <f t="shared" si="11"/>
        <v>#REF!</v>
      </c>
      <c r="BK92" s="23" t="e">
        <f>IF(SUMPRODUCT($J$85:BJ$85,$J92:BJ92)&lt;0.5, "Pending", IF(BJ92&lt;0.5, "Complete", "In Progress"))</f>
        <v>#REF!</v>
      </c>
      <c r="BL92" s="22">
        <v>0</v>
      </c>
      <c r="BM92" s="22" t="e">
        <f t="shared" si="12"/>
        <v>#REF!</v>
      </c>
      <c r="BN92" s="23" t="e">
        <f>IF(SUMPRODUCT($J$85:BM$85,$J92:BM92)&lt;0.5, "Pending", IF(BM92&lt;0.5, "Complete", "In Progress"))</f>
        <v>#REF!</v>
      </c>
      <c r="BO92" s="22">
        <v>0</v>
      </c>
      <c r="BP92" s="22" t="e">
        <f t="shared" si="13"/>
        <v>#REF!</v>
      </c>
      <c r="BQ92" s="23" t="e">
        <f>IF(SUMPRODUCT($J$85:BP$85,$J92:BP92)&lt;0.5, "Pending", IF(BP92&lt;0.5, "Complete", "In Progress"))</f>
        <v>#REF!</v>
      </c>
      <c r="BR92" s="22">
        <v>0</v>
      </c>
      <c r="BS92" s="22" t="e">
        <f t="shared" si="14"/>
        <v>#REF!</v>
      </c>
      <c r="BT92" s="23" t="e">
        <f>IF(SUMPRODUCT($J$85:BS$85,$J92:BS92)&lt;0.5, "Pending", IF(BS92&lt;0.5, "Complete", "In Progress"))</f>
        <v>#REF!</v>
      </c>
      <c r="BU92" s="22">
        <v>0</v>
      </c>
      <c r="BV92" s="22" t="e">
        <f t="shared" si="15"/>
        <v>#REF!</v>
      </c>
      <c r="BW92" s="23" t="e">
        <f>IF(SUMPRODUCT($J$85:BV$85,$J92:BV92)&lt;0.5, "Pending", IF(BV92&lt;0.5, "Complete", "In Progress"))</f>
        <v>#REF!</v>
      </c>
      <c r="BX92" s="22">
        <v>0</v>
      </c>
      <c r="BY92" s="22" t="e">
        <f t="shared" si="16"/>
        <v>#REF!</v>
      </c>
      <c r="BZ92" s="23" t="e">
        <f>IF(SUMPRODUCT($J$85:BY$85,$J92:BY92)&lt;0.5, "Pending", IF(BY92&lt;0.5, "Complete", "In Progress"))</f>
        <v>#REF!</v>
      </c>
      <c r="CA92" s="22">
        <v>0</v>
      </c>
      <c r="CB92" s="22" t="e">
        <f t="shared" si="17"/>
        <v>#REF!</v>
      </c>
      <c r="CC92" s="23" t="e">
        <f>IF(SUMPRODUCT($J$85:CB$85,$J92:CB92)&lt;0.5, "Pending", IF(CB92&lt;0.5, "Complete", "In Progress"))</f>
        <v>#REF!</v>
      </c>
      <c r="CD92" s="24"/>
      <c r="CE92" s="25">
        <f>SUMPRODUCT($H$85:AY$85,$H92:AY92)</f>
        <v>50</v>
      </c>
    </row>
    <row r="93" spans="1:83" ht="13.8" customHeight="1" x14ac:dyDescent="0.25">
      <c r="A93" s="16" t="s">
        <v>103</v>
      </c>
      <c r="B93" s="16" t="s">
        <v>110</v>
      </c>
      <c r="C93" s="16" t="s">
        <v>510</v>
      </c>
      <c r="D93" s="17" t="s">
        <v>211</v>
      </c>
      <c r="E93" s="158" t="s">
        <v>388</v>
      </c>
      <c r="F93" s="158" t="s">
        <v>496</v>
      </c>
      <c r="G93" s="19"/>
      <c r="H93" s="20">
        <v>1</v>
      </c>
      <c r="I93" s="21">
        <v>7</v>
      </c>
      <c r="J93" s="21">
        <v>0</v>
      </c>
      <c r="K93" s="21">
        <v>0</v>
      </c>
      <c r="L93" s="21">
        <v>0</v>
      </c>
      <c r="M93" s="21">
        <v>0</v>
      </c>
      <c r="N93" s="21">
        <v>0</v>
      </c>
      <c r="O93" s="21">
        <v>0</v>
      </c>
      <c r="P93" s="21">
        <v>0</v>
      </c>
      <c r="Q93" s="21">
        <v>0</v>
      </c>
      <c r="R93" s="21">
        <v>0</v>
      </c>
      <c r="S93" s="21">
        <v>0</v>
      </c>
      <c r="T93" s="21">
        <v>0</v>
      </c>
      <c r="U93" s="21">
        <v>0</v>
      </c>
      <c r="V93" s="21">
        <v>0</v>
      </c>
      <c r="W93" s="21">
        <v>0</v>
      </c>
      <c r="X93" s="21">
        <v>0</v>
      </c>
      <c r="Y93" s="21">
        <v>0</v>
      </c>
      <c r="Z93" s="21">
        <v>0</v>
      </c>
      <c r="AA93" s="21">
        <v>0</v>
      </c>
      <c r="AB93" s="21">
        <v>0</v>
      </c>
      <c r="AC93" s="21">
        <v>0</v>
      </c>
      <c r="AD93" s="21">
        <v>0</v>
      </c>
      <c r="AE93" s="21">
        <v>0</v>
      </c>
      <c r="AF93" s="21">
        <v>0</v>
      </c>
      <c r="AG93" s="21">
        <v>0</v>
      </c>
      <c r="AH93" s="21">
        <v>0</v>
      </c>
      <c r="AI93" s="21">
        <v>0</v>
      </c>
      <c r="AJ93" s="21">
        <v>0</v>
      </c>
      <c r="AK93" s="21">
        <v>0</v>
      </c>
      <c r="AL93" s="21">
        <v>0</v>
      </c>
      <c r="AM93" s="21">
        <v>0</v>
      </c>
      <c r="AN93" s="21">
        <v>0</v>
      </c>
      <c r="AO93" s="21">
        <v>0</v>
      </c>
      <c r="AP93" s="21">
        <v>0</v>
      </c>
      <c r="AQ93" s="21">
        <v>0</v>
      </c>
      <c r="AR93" s="21">
        <v>0</v>
      </c>
      <c r="AS93" s="21">
        <v>0</v>
      </c>
      <c r="AT93" s="21">
        <v>0</v>
      </c>
      <c r="AU93" s="21">
        <v>0</v>
      </c>
      <c r="AV93" s="21">
        <v>0</v>
      </c>
      <c r="AW93" s="21">
        <v>0</v>
      </c>
      <c r="AX93" s="21">
        <v>0</v>
      </c>
      <c r="AY93" s="21">
        <v>0</v>
      </c>
      <c r="AZ93" s="22">
        <v>0</v>
      </c>
      <c r="BA93" s="22" t="e">
        <f>MAX(#REF!-AZ93,0)</f>
        <v>#REF!</v>
      </c>
      <c r="BB93" s="23" t="e">
        <f>IF(SUMPRODUCT($J$85:BA$85,$J93:BA93)&lt;0.5, "Pending", IF(BA93&lt;0.5, "Complete", "In Progress"))</f>
        <v>#REF!</v>
      </c>
      <c r="BC93" s="22">
        <v>0</v>
      </c>
      <c r="BD93" s="22" t="e">
        <f t="shared" si="9"/>
        <v>#REF!</v>
      </c>
      <c r="BE93" s="23" t="e">
        <f>IF(SUMPRODUCT($J$85:BD$85,$J93:BD93)&lt;0.5, "Pending", IF(BD93&lt;0.5, "Complete", "In Progress"))</f>
        <v>#REF!</v>
      </c>
      <c r="BF93" s="22">
        <v>0</v>
      </c>
      <c r="BG93" s="22" t="e">
        <f t="shared" si="10"/>
        <v>#REF!</v>
      </c>
      <c r="BH93" s="23" t="e">
        <f>IF(SUMPRODUCT($J$85:BG$85,$J93:BG93)&lt;0.5, "Pending", IF(BG93&lt;0.5, "Complete", "In Progress"))</f>
        <v>#REF!</v>
      </c>
      <c r="BI93" s="22">
        <v>0</v>
      </c>
      <c r="BJ93" s="22" t="e">
        <f t="shared" si="11"/>
        <v>#REF!</v>
      </c>
      <c r="BK93" s="23" t="e">
        <f>IF(SUMPRODUCT($J$85:BJ$85,$J93:BJ93)&lt;0.5, "Pending", IF(BJ93&lt;0.5, "Complete", "In Progress"))</f>
        <v>#REF!</v>
      </c>
      <c r="BL93" s="22">
        <v>0</v>
      </c>
      <c r="BM93" s="22" t="e">
        <f t="shared" si="12"/>
        <v>#REF!</v>
      </c>
      <c r="BN93" s="23" t="e">
        <f>IF(SUMPRODUCT($J$85:BM$85,$J93:BM93)&lt;0.5, "Pending", IF(BM93&lt;0.5, "Complete", "In Progress"))</f>
        <v>#REF!</v>
      </c>
      <c r="BO93" s="22">
        <v>0</v>
      </c>
      <c r="BP93" s="22" t="e">
        <f t="shared" si="13"/>
        <v>#REF!</v>
      </c>
      <c r="BQ93" s="23" t="e">
        <f>IF(SUMPRODUCT($J$85:BP$85,$J93:BP93)&lt;0.5, "Pending", IF(BP93&lt;0.5, "Complete", "In Progress"))</f>
        <v>#REF!</v>
      </c>
      <c r="BR93" s="22">
        <v>0</v>
      </c>
      <c r="BS93" s="22" t="e">
        <f t="shared" si="14"/>
        <v>#REF!</v>
      </c>
      <c r="BT93" s="23" t="e">
        <f>IF(SUMPRODUCT($J$85:BS$85,$J93:BS93)&lt;0.5, "Pending", IF(BS93&lt;0.5, "Complete", "In Progress"))</f>
        <v>#REF!</v>
      </c>
      <c r="BU93" s="22">
        <v>0</v>
      </c>
      <c r="BV93" s="22" t="e">
        <f t="shared" si="15"/>
        <v>#REF!</v>
      </c>
      <c r="BW93" s="23" t="e">
        <f>IF(SUMPRODUCT($J$85:BV$85,$J93:BV93)&lt;0.5, "Pending", IF(BV93&lt;0.5, "Complete", "In Progress"))</f>
        <v>#REF!</v>
      </c>
      <c r="BX93" s="22">
        <v>0</v>
      </c>
      <c r="BY93" s="22" t="e">
        <f t="shared" si="16"/>
        <v>#REF!</v>
      </c>
      <c r="BZ93" s="23" t="e">
        <f>IF(SUMPRODUCT($J$85:BY$85,$J93:BY93)&lt;0.5, "Pending", IF(BY93&lt;0.5, "Complete", "In Progress"))</f>
        <v>#REF!</v>
      </c>
      <c r="CA93" s="22">
        <v>0</v>
      </c>
      <c r="CB93" s="22" t="e">
        <f t="shared" si="17"/>
        <v>#REF!</v>
      </c>
      <c r="CC93" s="23" t="e">
        <f>IF(SUMPRODUCT($J$85:CB$85,$J93:CB93)&lt;0.5, "Pending", IF(CB93&lt;0.5, "Complete", "In Progress"))</f>
        <v>#REF!</v>
      </c>
      <c r="CD93" s="24"/>
      <c r="CE93" s="25">
        <f>SUMPRODUCT($H$85:AY$85,$H93:AY93)</f>
        <v>50</v>
      </c>
    </row>
    <row r="94" spans="1:83" ht="13.8" customHeight="1" x14ac:dyDescent="0.25">
      <c r="A94" s="16" t="s">
        <v>103</v>
      </c>
      <c r="B94" s="16" t="s">
        <v>117</v>
      </c>
      <c r="C94" s="16" t="s">
        <v>510</v>
      </c>
      <c r="D94" s="17" t="s">
        <v>212</v>
      </c>
      <c r="E94" s="158" t="s">
        <v>389</v>
      </c>
      <c r="F94" s="158" t="s">
        <v>495</v>
      </c>
      <c r="G94" s="169"/>
      <c r="H94" s="20">
        <v>1</v>
      </c>
      <c r="I94" s="21">
        <v>7</v>
      </c>
      <c r="J94" s="21">
        <v>0</v>
      </c>
      <c r="K94" s="21">
        <v>0</v>
      </c>
      <c r="L94" s="21">
        <v>0</v>
      </c>
      <c r="M94" s="21">
        <v>0</v>
      </c>
      <c r="N94" s="21">
        <v>0</v>
      </c>
      <c r="O94" s="21">
        <v>0</v>
      </c>
      <c r="P94" s="21">
        <v>0</v>
      </c>
      <c r="Q94" s="21">
        <v>0</v>
      </c>
      <c r="R94" s="21">
        <v>0</v>
      </c>
      <c r="S94" s="21">
        <v>0</v>
      </c>
      <c r="T94" s="21">
        <v>0</v>
      </c>
      <c r="U94" s="21">
        <v>0</v>
      </c>
      <c r="V94" s="21">
        <v>0</v>
      </c>
      <c r="W94" s="21">
        <v>0</v>
      </c>
      <c r="X94" s="21">
        <v>0</v>
      </c>
      <c r="Y94" s="21">
        <v>0</v>
      </c>
      <c r="Z94" s="21">
        <v>0</v>
      </c>
      <c r="AA94" s="21">
        <v>0</v>
      </c>
      <c r="AB94" s="21">
        <v>0</v>
      </c>
      <c r="AC94" s="21">
        <v>0</v>
      </c>
      <c r="AD94" s="21">
        <v>0</v>
      </c>
      <c r="AE94" s="21">
        <v>0</v>
      </c>
      <c r="AF94" s="21">
        <v>0</v>
      </c>
      <c r="AG94" s="21">
        <v>0</v>
      </c>
      <c r="AH94" s="21">
        <v>0</v>
      </c>
      <c r="AI94" s="21">
        <v>0</v>
      </c>
      <c r="AJ94" s="21">
        <v>0</v>
      </c>
      <c r="AK94" s="21">
        <v>0</v>
      </c>
      <c r="AL94" s="21">
        <v>0</v>
      </c>
      <c r="AM94" s="21">
        <v>0</v>
      </c>
      <c r="AN94" s="21">
        <v>0</v>
      </c>
      <c r="AO94" s="21">
        <v>0</v>
      </c>
      <c r="AP94" s="21">
        <v>0</v>
      </c>
      <c r="AQ94" s="21">
        <v>0</v>
      </c>
      <c r="AR94" s="21">
        <v>0</v>
      </c>
      <c r="AS94" s="21">
        <v>0</v>
      </c>
      <c r="AT94" s="21">
        <v>0</v>
      </c>
      <c r="AU94" s="21">
        <v>0</v>
      </c>
      <c r="AV94" s="21">
        <v>0</v>
      </c>
      <c r="AW94" s="21">
        <v>0</v>
      </c>
      <c r="AX94" s="21">
        <v>0</v>
      </c>
      <c r="AY94" s="21">
        <v>0</v>
      </c>
      <c r="AZ94" s="22">
        <v>0</v>
      </c>
      <c r="BA94" s="22" t="e">
        <f>MAX(#REF!-AZ94,0)</f>
        <v>#REF!</v>
      </c>
      <c r="BB94" s="23" t="e">
        <f>IF(SUMPRODUCT($J$85:BA$85,$J94:BA94)&lt;0.5, "Pending", IF(BA94&lt;0.5, "Complete", "In Progress"))</f>
        <v>#REF!</v>
      </c>
      <c r="BC94" s="22">
        <v>0</v>
      </c>
      <c r="BD94" s="22" t="e">
        <f t="shared" si="9"/>
        <v>#REF!</v>
      </c>
      <c r="BE94" s="23" t="e">
        <f>IF(SUMPRODUCT($J$85:BD$85,$J94:BD94)&lt;0.5, "Pending", IF(BD94&lt;0.5, "Complete", "In Progress"))</f>
        <v>#REF!</v>
      </c>
      <c r="BF94" s="22">
        <v>0</v>
      </c>
      <c r="BG94" s="22" t="e">
        <f t="shared" si="10"/>
        <v>#REF!</v>
      </c>
      <c r="BH94" s="23" t="e">
        <f>IF(SUMPRODUCT($J$85:BG$85,$J94:BG94)&lt;0.5, "Pending", IF(BG94&lt;0.5, "Complete", "In Progress"))</f>
        <v>#REF!</v>
      </c>
      <c r="BI94" s="22">
        <v>0</v>
      </c>
      <c r="BJ94" s="22" t="e">
        <f t="shared" si="11"/>
        <v>#REF!</v>
      </c>
      <c r="BK94" s="23" t="e">
        <f>IF(SUMPRODUCT($J$85:BJ$85,$J94:BJ94)&lt;0.5, "Pending", IF(BJ94&lt;0.5, "Complete", "In Progress"))</f>
        <v>#REF!</v>
      </c>
      <c r="BL94" s="22">
        <v>0</v>
      </c>
      <c r="BM94" s="22" t="e">
        <f t="shared" si="12"/>
        <v>#REF!</v>
      </c>
      <c r="BN94" s="23" t="e">
        <f>IF(SUMPRODUCT($J$85:BM$85,$J94:BM94)&lt;0.5, "Pending", IF(BM94&lt;0.5, "Complete", "In Progress"))</f>
        <v>#REF!</v>
      </c>
      <c r="BO94" s="22">
        <v>0</v>
      </c>
      <c r="BP94" s="22" t="e">
        <f t="shared" si="13"/>
        <v>#REF!</v>
      </c>
      <c r="BQ94" s="23" t="e">
        <f>IF(SUMPRODUCT($J$85:BP$85,$J94:BP94)&lt;0.5, "Pending", IF(BP94&lt;0.5, "Complete", "In Progress"))</f>
        <v>#REF!</v>
      </c>
      <c r="BR94" s="22">
        <v>0</v>
      </c>
      <c r="BS94" s="22" t="e">
        <f t="shared" si="14"/>
        <v>#REF!</v>
      </c>
      <c r="BT94" s="23" t="e">
        <f>IF(SUMPRODUCT($J$85:BS$85,$J94:BS94)&lt;0.5, "Pending", IF(BS94&lt;0.5, "Complete", "In Progress"))</f>
        <v>#REF!</v>
      </c>
      <c r="BU94" s="22">
        <v>0</v>
      </c>
      <c r="BV94" s="22" t="e">
        <f t="shared" si="15"/>
        <v>#REF!</v>
      </c>
      <c r="BW94" s="23" t="e">
        <f>IF(SUMPRODUCT($J$85:BV$85,$J94:BV94)&lt;0.5, "Pending", IF(BV94&lt;0.5, "Complete", "In Progress"))</f>
        <v>#REF!</v>
      </c>
      <c r="BX94" s="22">
        <v>0</v>
      </c>
      <c r="BY94" s="22" t="e">
        <f t="shared" si="16"/>
        <v>#REF!</v>
      </c>
      <c r="BZ94" s="23" t="e">
        <f>IF(SUMPRODUCT($J$85:BY$85,$J94:BY94)&lt;0.5, "Pending", IF(BY94&lt;0.5, "Complete", "In Progress"))</f>
        <v>#REF!</v>
      </c>
      <c r="CA94" s="22">
        <v>0</v>
      </c>
      <c r="CB94" s="22" t="e">
        <f t="shared" si="17"/>
        <v>#REF!</v>
      </c>
      <c r="CC94" s="23" t="e">
        <f>IF(SUMPRODUCT($J$85:CB$85,$J94:CB94)&lt;0.5, "Pending", IF(CB94&lt;0.5, "Complete", "In Progress"))</f>
        <v>#REF!</v>
      </c>
      <c r="CD94" s="24"/>
      <c r="CE94" s="25">
        <f>SUMPRODUCT($H$85:AY$85,$H94:AY94)</f>
        <v>50</v>
      </c>
    </row>
    <row r="95" spans="1:83" ht="13.8" customHeight="1" x14ac:dyDescent="0.25">
      <c r="A95" s="16" t="s">
        <v>103</v>
      </c>
      <c r="B95" s="16" t="s">
        <v>110</v>
      </c>
      <c r="C95" s="16" t="s">
        <v>510</v>
      </c>
      <c r="D95" s="17" t="s">
        <v>213</v>
      </c>
      <c r="E95" s="158" t="s">
        <v>390</v>
      </c>
      <c r="F95" s="158" t="s">
        <v>493</v>
      </c>
      <c r="G95" s="168"/>
      <c r="H95" s="20">
        <v>1</v>
      </c>
      <c r="I95" s="21">
        <v>56</v>
      </c>
      <c r="J95" s="21">
        <v>0</v>
      </c>
      <c r="K95" s="21">
        <v>0</v>
      </c>
      <c r="L95" s="21">
        <v>0</v>
      </c>
      <c r="M95" s="21">
        <v>0</v>
      </c>
      <c r="N95" s="21">
        <v>0</v>
      </c>
      <c r="O95" s="21">
        <v>0</v>
      </c>
      <c r="P95" s="21">
        <v>0</v>
      </c>
      <c r="Q95" s="21">
        <v>0</v>
      </c>
      <c r="R95" s="21">
        <v>0</v>
      </c>
      <c r="S95" s="21">
        <v>0</v>
      </c>
      <c r="T95" s="21">
        <v>0</v>
      </c>
      <c r="U95" s="21">
        <v>0</v>
      </c>
      <c r="V95" s="21">
        <v>0</v>
      </c>
      <c r="W95" s="21">
        <v>0</v>
      </c>
      <c r="X95" s="21">
        <v>0</v>
      </c>
      <c r="Y95" s="21">
        <v>0</v>
      </c>
      <c r="Z95" s="21">
        <v>0</v>
      </c>
      <c r="AA95" s="21">
        <v>0</v>
      </c>
      <c r="AB95" s="21">
        <v>0</v>
      </c>
      <c r="AC95" s="21">
        <v>0</v>
      </c>
      <c r="AD95" s="21">
        <v>0</v>
      </c>
      <c r="AE95" s="21">
        <v>0</v>
      </c>
      <c r="AF95" s="21">
        <v>0</v>
      </c>
      <c r="AG95" s="21">
        <v>0</v>
      </c>
      <c r="AH95" s="21">
        <v>0</v>
      </c>
      <c r="AI95" s="21">
        <v>0</v>
      </c>
      <c r="AJ95" s="21">
        <v>0</v>
      </c>
      <c r="AK95" s="21">
        <v>0</v>
      </c>
      <c r="AL95" s="21">
        <v>0</v>
      </c>
      <c r="AM95" s="21">
        <v>0</v>
      </c>
      <c r="AN95" s="21">
        <v>0</v>
      </c>
      <c r="AO95" s="21">
        <v>0</v>
      </c>
      <c r="AP95" s="21">
        <v>0</v>
      </c>
      <c r="AQ95" s="21">
        <v>0</v>
      </c>
      <c r="AR95" s="21">
        <v>0</v>
      </c>
      <c r="AS95" s="21">
        <v>0</v>
      </c>
      <c r="AT95" s="21">
        <v>0</v>
      </c>
      <c r="AU95" s="21">
        <v>0</v>
      </c>
      <c r="AV95" s="21">
        <v>0</v>
      </c>
      <c r="AW95" s="21">
        <v>0</v>
      </c>
      <c r="AX95" s="21">
        <v>0</v>
      </c>
      <c r="AY95" s="21">
        <v>0</v>
      </c>
      <c r="AZ95" s="22">
        <v>0</v>
      </c>
      <c r="BA95" s="22" t="e">
        <f>MAX(#REF!-AZ95,0)</f>
        <v>#REF!</v>
      </c>
      <c r="BB95" s="23" t="e">
        <f>IF(SUMPRODUCT($J$85:BA$85,$J95:BA95)&lt;0.5, "Pending", IF(BA95&lt;0.5, "Complete", "In Progress"))</f>
        <v>#REF!</v>
      </c>
      <c r="BC95" s="22">
        <v>0</v>
      </c>
      <c r="BD95" s="22" t="e">
        <f t="shared" si="9"/>
        <v>#REF!</v>
      </c>
      <c r="BE95" s="23" t="e">
        <f>IF(SUMPRODUCT($J$85:BD$85,$J95:BD95)&lt;0.5, "Pending", IF(BD95&lt;0.5, "Complete", "In Progress"))</f>
        <v>#REF!</v>
      </c>
      <c r="BF95" s="22">
        <v>0</v>
      </c>
      <c r="BG95" s="22" t="e">
        <f t="shared" si="10"/>
        <v>#REF!</v>
      </c>
      <c r="BH95" s="23" t="e">
        <f>IF(SUMPRODUCT($J$85:BG$85,$J95:BG95)&lt;0.5, "Pending", IF(BG95&lt;0.5, "Complete", "In Progress"))</f>
        <v>#REF!</v>
      </c>
      <c r="BI95" s="22">
        <v>0</v>
      </c>
      <c r="BJ95" s="22" t="e">
        <f t="shared" si="11"/>
        <v>#REF!</v>
      </c>
      <c r="BK95" s="23" t="e">
        <f>IF(SUMPRODUCT($J$85:BJ$85,$J95:BJ95)&lt;0.5, "Pending", IF(BJ95&lt;0.5, "Complete", "In Progress"))</f>
        <v>#REF!</v>
      </c>
      <c r="BL95" s="22">
        <v>0</v>
      </c>
      <c r="BM95" s="22" t="e">
        <f t="shared" si="12"/>
        <v>#REF!</v>
      </c>
      <c r="BN95" s="23" t="e">
        <f>IF(SUMPRODUCT($J$85:BM$85,$J95:BM95)&lt;0.5, "Pending", IF(BM95&lt;0.5, "Complete", "In Progress"))</f>
        <v>#REF!</v>
      </c>
      <c r="BO95" s="22">
        <v>0</v>
      </c>
      <c r="BP95" s="22" t="e">
        <f t="shared" si="13"/>
        <v>#REF!</v>
      </c>
      <c r="BQ95" s="23" t="e">
        <f>IF(SUMPRODUCT($J$85:BP$85,$J95:BP95)&lt;0.5, "Pending", IF(BP95&lt;0.5, "Complete", "In Progress"))</f>
        <v>#REF!</v>
      </c>
      <c r="BR95" s="22">
        <v>0</v>
      </c>
      <c r="BS95" s="22" t="e">
        <f t="shared" si="14"/>
        <v>#REF!</v>
      </c>
      <c r="BT95" s="23" t="e">
        <f>IF(SUMPRODUCT($J$85:BS$85,$J95:BS95)&lt;0.5, "Pending", IF(BS95&lt;0.5, "Complete", "In Progress"))</f>
        <v>#REF!</v>
      </c>
      <c r="BU95" s="22">
        <v>0</v>
      </c>
      <c r="BV95" s="22" t="e">
        <f t="shared" si="15"/>
        <v>#REF!</v>
      </c>
      <c r="BW95" s="23" t="e">
        <f>IF(SUMPRODUCT($J$85:BV$85,$J95:BV95)&lt;0.5, "Pending", IF(BV95&lt;0.5, "Complete", "In Progress"))</f>
        <v>#REF!</v>
      </c>
      <c r="BX95" s="22">
        <v>0</v>
      </c>
      <c r="BY95" s="22" t="e">
        <f t="shared" si="16"/>
        <v>#REF!</v>
      </c>
      <c r="BZ95" s="23" t="e">
        <f>IF(SUMPRODUCT($J$85:BY$85,$J95:BY95)&lt;0.5, "Pending", IF(BY95&lt;0.5, "Complete", "In Progress"))</f>
        <v>#REF!</v>
      </c>
      <c r="CA95" s="22">
        <v>0</v>
      </c>
      <c r="CB95" s="22" t="e">
        <f t="shared" si="17"/>
        <v>#REF!</v>
      </c>
      <c r="CC95" s="23" t="e">
        <f>IF(SUMPRODUCT($J$85:CB$85,$J95:CB95)&lt;0.5, "Pending", IF(CB95&lt;0.5, "Complete", "In Progress"))</f>
        <v>#REF!</v>
      </c>
      <c r="CD95" s="24"/>
      <c r="CE95" s="25">
        <f>SUMPRODUCT($H$85:AY$85,$H95:AY95)</f>
        <v>393</v>
      </c>
    </row>
    <row r="96" spans="1:83" ht="13.8" customHeight="1" x14ac:dyDescent="0.25">
      <c r="A96" s="16" t="s">
        <v>103</v>
      </c>
      <c r="B96" s="16" t="s">
        <v>108</v>
      </c>
      <c r="C96" s="16" t="s">
        <v>511</v>
      </c>
      <c r="D96" s="17">
        <v>6</v>
      </c>
      <c r="E96" s="158" t="s">
        <v>391</v>
      </c>
      <c r="F96" s="158" t="s">
        <v>494</v>
      </c>
      <c r="G96" s="19"/>
      <c r="H96" s="20">
        <v>1</v>
      </c>
      <c r="I96" s="21">
        <v>7</v>
      </c>
      <c r="J96" s="21">
        <v>0</v>
      </c>
      <c r="K96" s="21">
        <v>0</v>
      </c>
      <c r="L96" s="21">
        <v>0</v>
      </c>
      <c r="M96" s="21">
        <v>0</v>
      </c>
      <c r="N96" s="21">
        <v>0</v>
      </c>
      <c r="O96" s="21">
        <v>0</v>
      </c>
      <c r="P96" s="21">
        <v>0</v>
      </c>
      <c r="Q96" s="21">
        <v>0</v>
      </c>
      <c r="R96" s="21">
        <v>0</v>
      </c>
      <c r="S96" s="21">
        <v>0</v>
      </c>
      <c r="T96" s="21">
        <v>0</v>
      </c>
      <c r="U96" s="21">
        <v>0</v>
      </c>
      <c r="V96" s="21">
        <v>0</v>
      </c>
      <c r="W96" s="21">
        <v>0</v>
      </c>
      <c r="X96" s="21">
        <v>0</v>
      </c>
      <c r="Y96" s="21">
        <v>0</v>
      </c>
      <c r="Z96" s="21">
        <v>0</v>
      </c>
      <c r="AA96" s="21">
        <v>0</v>
      </c>
      <c r="AB96" s="21">
        <v>0</v>
      </c>
      <c r="AC96" s="21">
        <v>0</v>
      </c>
      <c r="AD96" s="21">
        <v>0</v>
      </c>
      <c r="AE96" s="21">
        <v>0</v>
      </c>
      <c r="AF96" s="21">
        <v>0</v>
      </c>
      <c r="AG96" s="21">
        <v>0</v>
      </c>
      <c r="AH96" s="21">
        <v>0</v>
      </c>
      <c r="AI96" s="21">
        <v>0</v>
      </c>
      <c r="AJ96" s="21">
        <v>0</v>
      </c>
      <c r="AK96" s="21">
        <v>0</v>
      </c>
      <c r="AL96" s="21">
        <v>0</v>
      </c>
      <c r="AM96" s="21">
        <v>0</v>
      </c>
      <c r="AN96" s="21">
        <v>0</v>
      </c>
      <c r="AO96" s="21">
        <v>0</v>
      </c>
      <c r="AP96" s="21">
        <v>0</v>
      </c>
      <c r="AQ96" s="21">
        <v>0</v>
      </c>
      <c r="AR96" s="21">
        <v>0</v>
      </c>
      <c r="AS96" s="21">
        <v>0</v>
      </c>
      <c r="AT96" s="21">
        <v>0</v>
      </c>
      <c r="AU96" s="21">
        <v>0</v>
      </c>
      <c r="AV96" s="21">
        <v>0</v>
      </c>
      <c r="AW96" s="21">
        <v>0</v>
      </c>
      <c r="AX96" s="21">
        <v>0</v>
      </c>
      <c r="AY96" s="21">
        <v>0</v>
      </c>
      <c r="AZ96" s="22">
        <v>0</v>
      </c>
      <c r="BA96" s="22" t="e">
        <f>MAX(#REF!-AZ96,0)</f>
        <v>#REF!</v>
      </c>
      <c r="BB96" s="23" t="e">
        <f>IF(SUMPRODUCT($J$85:BA$85,$J96:BA96)&lt;0.5, "Pending", IF(BA96&lt;0.5, "Complete", "In Progress"))</f>
        <v>#REF!</v>
      </c>
      <c r="BC96" s="22">
        <v>0</v>
      </c>
      <c r="BD96" s="22" t="e">
        <f t="shared" si="9"/>
        <v>#REF!</v>
      </c>
      <c r="BE96" s="23" t="e">
        <f>IF(SUMPRODUCT($J$85:BD$85,$J96:BD96)&lt;0.5, "Pending", IF(BD96&lt;0.5, "Complete", "In Progress"))</f>
        <v>#REF!</v>
      </c>
      <c r="BF96" s="22">
        <v>0</v>
      </c>
      <c r="BG96" s="22" t="e">
        <f t="shared" si="10"/>
        <v>#REF!</v>
      </c>
      <c r="BH96" s="23" t="e">
        <f>IF(SUMPRODUCT($J$85:BG$85,$J96:BG96)&lt;0.5, "Pending", IF(BG96&lt;0.5, "Complete", "In Progress"))</f>
        <v>#REF!</v>
      </c>
      <c r="BI96" s="22">
        <v>0</v>
      </c>
      <c r="BJ96" s="22" t="e">
        <f t="shared" si="11"/>
        <v>#REF!</v>
      </c>
      <c r="BK96" s="23" t="e">
        <f>IF(SUMPRODUCT($J$85:BJ$85,$J96:BJ96)&lt;0.5, "Pending", IF(BJ96&lt;0.5, "Complete", "In Progress"))</f>
        <v>#REF!</v>
      </c>
      <c r="BL96" s="22">
        <v>0</v>
      </c>
      <c r="BM96" s="22" t="e">
        <f t="shared" si="12"/>
        <v>#REF!</v>
      </c>
      <c r="BN96" s="23" t="e">
        <f>IF(SUMPRODUCT($J$85:BM$85,$J96:BM96)&lt;0.5, "Pending", IF(BM96&lt;0.5, "Complete", "In Progress"))</f>
        <v>#REF!</v>
      </c>
      <c r="BO96" s="22">
        <v>0</v>
      </c>
      <c r="BP96" s="22" t="e">
        <f t="shared" si="13"/>
        <v>#REF!</v>
      </c>
      <c r="BQ96" s="23" t="e">
        <f>IF(SUMPRODUCT($J$85:BP$85,$J96:BP96)&lt;0.5, "Pending", IF(BP96&lt;0.5, "Complete", "In Progress"))</f>
        <v>#REF!</v>
      </c>
      <c r="BR96" s="22">
        <v>0</v>
      </c>
      <c r="BS96" s="22" t="e">
        <f t="shared" si="14"/>
        <v>#REF!</v>
      </c>
      <c r="BT96" s="23" t="e">
        <f>IF(SUMPRODUCT($J$85:BS$85,$J96:BS96)&lt;0.5, "Pending", IF(BS96&lt;0.5, "Complete", "In Progress"))</f>
        <v>#REF!</v>
      </c>
      <c r="BU96" s="22">
        <v>0</v>
      </c>
      <c r="BV96" s="22" t="e">
        <f t="shared" si="15"/>
        <v>#REF!</v>
      </c>
      <c r="BW96" s="23" t="e">
        <f>IF(SUMPRODUCT($J$85:BV$85,$J96:BV96)&lt;0.5, "Pending", IF(BV96&lt;0.5, "Complete", "In Progress"))</f>
        <v>#REF!</v>
      </c>
      <c r="BX96" s="22">
        <v>0</v>
      </c>
      <c r="BY96" s="22" t="e">
        <f t="shared" si="16"/>
        <v>#REF!</v>
      </c>
      <c r="BZ96" s="23" t="e">
        <f>IF(SUMPRODUCT($J$85:BY$85,$J96:BY96)&lt;0.5, "Pending", IF(BY96&lt;0.5, "Complete", "In Progress"))</f>
        <v>#REF!</v>
      </c>
      <c r="CA96" s="22">
        <v>0</v>
      </c>
      <c r="CB96" s="22" t="e">
        <f t="shared" si="17"/>
        <v>#REF!</v>
      </c>
      <c r="CC96" s="23" t="e">
        <f>IF(SUMPRODUCT($J$85:CB$85,$J96:CB96)&lt;0.5, "Pending", IF(CB96&lt;0.5, "Complete", "In Progress"))</f>
        <v>#REF!</v>
      </c>
      <c r="CD96" s="24"/>
      <c r="CE96" s="25">
        <f>SUMPRODUCT($H$85:AY$85,$H96:AY96)</f>
        <v>50</v>
      </c>
    </row>
    <row r="97" spans="1:83" ht="13.8" customHeight="1" x14ac:dyDescent="0.25">
      <c r="A97" s="16" t="s">
        <v>103</v>
      </c>
      <c r="B97" s="16" t="s">
        <v>112</v>
      </c>
      <c r="C97" s="16" t="s">
        <v>511</v>
      </c>
      <c r="D97" s="17">
        <v>6.1</v>
      </c>
      <c r="E97" s="158" t="s">
        <v>392</v>
      </c>
      <c r="F97" s="158" t="s">
        <v>497</v>
      </c>
      <c r="G97" s="19"/>
      <c r="H97" s="20">
        <v>1</v>
      </c>
      <c r="I97" s="21">
        <v>7</v>
      </c>
      <c r="J97" s="21">
        <v>0</v>
      </c>
      <c r="K97" s="21">
        <v>0</v>
      </c>
      <c r="L97" s="21">
        <v>0</v>
      </c>
      <c r="M97" s="21">
        <v>0</v>
      </c>
      <c r="N97" s="21">
        <v>0</v>
      </c>
      <c r="O97" s="21">
        <v>0</v>
      </c>
      <c r="P97" s="21">
        <v>0</v>
      </c>
      <c r="Q97" s="21">
        <v>0</v>
      </c>
      <c r="R97" s="21">
        <v>0</v>
      </c>
      <c r="S97" s="21">
        <v>0</v>
      </c>
      <c r="T97" s="21">
        <v>0</v>
      </c>
      <c r="U97" s="21">
        <v>0</v>
      </c>
      <c r="V97" s="21">
        <v>0</v>
      </c>
      <c r="W97" s="21">
        <v>0</v>
      </c>
      <c r="X97" s="21">
        <v>0</v>
      </c>
      <c r="Y97" s="21">
        <v>0</v>
      </c>
      <c r="Z97" s="21">
        <v>0</v>
      </c>
      <c r="AA97" s="21">
        <v>0</v>
      </c>
      <c r="AB97" s="21">
        <v>0</v>
      </c>
      <c r="AC97" s="21">
        <v>0</v>
      </c>
      <c r="AD97" s="21">
        <v>0</v>
      </c>
      <c r="AE97" s="21">
        <v>0</v>
      </c>
      <c r="AF97" s="21">
        <v>0</v>
      </c>
      <c r="AG97" s="21">
        <v>0</v>
      </c>
      <c r="AH97" s="21">
        <v>0</v>
      </c>
      <c r="AI97" s="21">
        <v>0</v>
      </c>
      <c r="AJ97" s="21">
        <v>0</v>
      </c>
      <c r="AK97" s="21">
        <v>0</v>
      </c>
      <c r="AL97" s="21">
        <v>0</v>
      </c>
      <c r="AM97" s="21">
        <v>0</v>
      </c>
      <c r="AN97" s="21">
        <v>0</v>
      </c>
      <c r="AO97" s="21">
        <v>0</v>
      </c>
      <c r="AP97" s="21">
        <v>0</v>
      </c>
      <c r="AQ97" s="21">
        <v>0</v>
      </c>
      <c r="AR97" s="21">
        <v>0</v>
      </c>
      <c r="AS97" s="21">
        <v>0</v>
      </c>
      <c r="AT97" s="21">
        <v>0</v>
      </c>
      <c r="AU97" s="21">
        <v>0</v>
      </c>
      <c r="AV97" s="21">
        <v>0</v>
      </c>
      <c r="AW97" s="21">
        <v>0</v>
      </c>
      <c r="AX97" s="21">
        <v>0</v>
      </c>
      <c r="AY97" s="21">
        <v>0</v>
      </c>
      <c r="AZ97" s="22">
        <v>0</v>
      </c>
      <c r="BA97" s="22" t="e">
        <f>MAX(#REF!-AZ97,0)</f>
        <v>#REF!</v>
      </c>
      <c r="BB97" s="23" t="e">
        <f>IF(SUMPRODUCT($J$85:BA$85,$J97:BA97)&lt;0.5, "Pending", IF(BA97&lt;0.5, "Complete", "In Progress"))</f>
        <v>#REF!</v>
      </c>
      <c r="BC97" s="22">
        <v>0</v>
      </c>
      <c r="BD97" s="22" t="e">
        <f t="shared" si="9"/>
        <v>#REF!</v>
      </c>
      <c r="BE97" s="23" t="e">
        <f>IF(SUMPRODUCT($J$85:BD$85,$J97:BD97)&lt;0.5, "Pending", IF(BD97&lt;0.5, "Complete", "In Progress"))</f>
        <v>#REF!</v>
      </c>
      <c r="BF97" s="22">
        <v>0</v>
      </c>
      <c r="BG97" s="22" t="e">
        <f t="shared" si="10"/>
        <v>#REF!</v>
      </c>
      <c r="BH97" s="23" t="e">
        <f>IF(SUMPRODUCT($J$85:BG$85,$J97:BG97)&lt;0.5, "Pending", IF(BG97&lt;0.5, "Complete", "In Progress"))</f>
        <v>#REF!</v>
      </c>
      <c r="BI97" s="22">
        <v>0</v>
      </c>
      <c r="BJ97" s="22" t="e">
        <f t="shared" si="11"/>
        <v>#REF!</v>
      </c>
      <c r="BK97" s="23" t="e">
        <f>IF(SUMPRODUCT($J$85:BJ$85,$J97:BJ97)&lt;0.5, "Pending", IF(BJ97&lt;0.5, "Complete", "In Progress"))</f>
        <v>#REF!</v>
      </c>
      <c r="BL97" s="22">
        <v>0</v>
      </c>
      <c r="BM97" s="22" t="e">
        <f t="shared" si="12"/>
        <v>#REF!</v>
      </c>
      <c r="BN97" s="23" t="e">
        <f>IF(SUMPRODUCT($J$85:BM$85,$J97:BM97)&lt;0.5, "Pending", IF(BM97&lt;0.5, "Complete", "In Progress"))</f>
        <v>#REF!</v>
      </c>
      <c r="BO97" s="22">
        <v>0</v>
      </c>
      <c r="BP97" s="22" t="e">
        <f t="shared" si="13"/>
        <v>#REF!</v>
      </c>
      <c r="BQ97" s="23" t="e">
        <f>IF(SUMPRODUCT($J$85:BP$85,$J97:BP97)&lt;0.5, "Pending", IF(BP97&lt;0.5, "Complete", "In Progress"))</f>
        <v>#REF!</v>
      </c>
      <c r="BR97" s="22">
        <v>0</v>
      </c>
      <c r="BS97" s="22" t="e">
        <f t="shared" si="14"/>
        <v>#REF!</v>
      </c>
      <c r="BT97" s="23" t="e">
        <f>IF(SUMPRODUCT($J$85:BS$85,$J97:BS97)&lt;0.5, "Pending", IF(BS97&lt;0.5, "Complete", "In Progress"))</f>
        <v>#REF!</v>
      </c>
      <c r="BU97" s="22">
        <v>0</v>
      </c>
      <c r="BV97" s="22" t="e">
        <f t="shared" si="15"/>
        <v>#REF!</v>
      </c>
      <c r="BW97" s="23" t="e">
        <f>IF(SUMPRODUCT($J$85:BV$85,$J97:BV97)&lt;0.5, "Pending", IF(BV97&lt;0.5, "Complete", "In Progress"))</f>
        <v>#REF!</v>
      </c>
      <c r="BX97" s="22">
        <v>0</v>
      </c>
      <c r="BY97" s="22" t="e">
        <f t="shared" si="16"/>
        <v>#REF!</v>
      </c>
      <c r="BZ97" s="23" t="e">
        <f>IF(SUMPRODUCT($J$85:BY$85,$J97:BY97)&lt;0.5, "Pending", IF(BY97&lt;0.5, "Complete", "In Progress"))</f>
        <v>#REF!</v>
      </c>
      <c r="CA97" s="22">
        <v>0</v>
      </c>
      <c r="CB97" s="22" t="e">
        <f t="shared" si="17"/>
        <v>#REF!</v>
      </c>
      <c r="CC97" s="23" t="e">
        <f>IF(SUMPRODUCT($J$85:CB$85,$J97:CB97)&lt;0.5, "Pending", IF(CB97&lt;0.5, "Complete", "In Progress"))</f>
        <v>#REF!</v>
      </c>
      <c r="CD97" s="24"/>
      <c r="CE97" s="25">
        <f>SUMPRODUCT($H$85:AY$85,$H97:AY97)</f>
        <v>50</v>
      </c>
    </row>
    <row r="98" spans="1:83" ht="13.8" customHeight="1" x14ac:dyDescent="0.25">
      <c r="A98" s="16" t="s">
        <v>103</v>
      </c>
      <c r="B98" s="16" t="s">
        <v>111</v>
      </c>
      <c r="C98" s="16" t="s">
        <v>512</v>
      </c>
      <c r="D98" s="17" t="s">
        <v>214</v>
      </c>
      <c r="E98" s="158" t="s">
        <v>393</v>
      </c>
      <c r="F98" s="158" t="s">
        <v>498</v>
      </c>
      <c r="G98" s="19"/>
      <c r="H98" s="20">
        <v>1</v>
      </c>
      <c r="I98" s="21">
        <v>7</v>
      </c>
      <c r="J98" s="21">
        <v>0</v>
      </c>
      <c r="K98" s="21">
        <v>0</v>
      </c>
      <c r="L98" s="21">
        <v>0</v>
      </c>
      <c r="M98" s="21">
        <v>0</v>
      </c>
      <c r="N98" s="21">
        <v>0</v>
      </c>
      <c r="O98" s="21">
        <v>0</v>
      </c>
      <c r="P98" s="21">
        <v>0</v>
      </c>
      <c r="Q98" s="21">
        <v>0</v>
      </c>
      <c r="R98" s="21">
        <v>0</v>
      </c>
      <c r="S98" s="21">
        <v>0</v>
      </c>
      <c r="T98" s="21">
        <v>0</v>
      </c>
      <c r="U98" s="21">
        <v>0</v>
      </c>
      <c r="V98" s="21">
        <v>0</v>
      </c>
      <c r="W98" s="21">
        <v>0</v>
      </c>
      <c r="X98" s="21">
        <v>0</v>
      </c>
      <c r="Y98" s="21">
        <v>0</v>
      </c>
      <c r="Z98" s="21">
        <v>0</v>
      </c>
      <c r="AA98" s="21">
        <v>0</v>
      </c>
      <c r="AB98" s="21">
        <v>0</v>
      </c>
      <c r="AC98" s="21">
        <v>0</v>
      </c>
      <c r="AD98" s="21">
        <v>0</v>
      </c>
      <c r="AE98" s="21">
        <v>0</v>
      </c>
      <c r="AF98" s="21">
        <v>0</v>
      </c>
      <c r="AG98" s="21">
        <v>0</v>
      </c>
      <c r="AH98" s="21">
        <v>0</v>
      </c>
      <c r="AI98" s="21">
        <v>0</v>
      </c>
      <c r="AJ98" s="21">
        <v>0</v>
      </c>
      <c r="AK98" s="21">
        <v>0</v>
      </c>
      <c r="AL98" s="21">
        <v>0</v>
      </c>
      <c r="AM98" s="21">
        <v>0</v>
      </c>
      <c r="AN98" s="21">
        <v>0</v>
      </c>
      <c r="AO98" s="21">
        <v>0</v>
      </c>
      <c r="AP98" s="21">
        <v>0</v>
      </c>
      <c r="AQ98" s="21">
        <v>0</v>
      </c>
      <c r="AR98" s="21">
        <v>0</v>
      </c>
      <c r="AS98" s="21">
        <v>0</v>
      </c>
      <c r="AT98" s="21">
        <v>0</v>
      </c>
      <c r="AU98" s="21">
        <v>0</v>
      </c>
      <c r="AV98" s="21">
        <v>0</v>
      </c>
      <c r="AW98" s="21">
        <v>0</v>
      </c>
      <c r="AX98" s="21">
        <v>0</v>
      </c>
      <c r="AY98" s="21">
        <v>0</v>
      </c>
      <c r="AZ98" s="22">
        <v>0</v>
      </c>
      <c r="BA98" s="22" t="e">
        <f>MAX(#REF!-AZ98,0)</f>
        <v>#REF!</v>
      </c>
      <c r="BB98" s="23" t="e">
        <f>IF(SUMPRODUCT($J$85:BA$85,$J98:BA98)&lt;0.5, "Pending", IF(BA98&lt;0.5, "Complete", "In Progress"))</f>
        <v>#REF!</v>
      </c>
      <c r="BC98" s="22">
        <v>0</v>
      </c>
      <c r="BD98" s="22" t="e">
        <f t="shared" si="9"/>
        <v>#REF!</v>
      </c>
      <c r="BE98" s="23" t="e">
        <f>IF(SUMPRODUCT($J$85:BD$85,$J98:BD98)&lt;0.5, "Pending", IF(BD98&lt;0.5, "Complete", "In Progress"))</f>
        <v>#REF!</v>
      </c>
      <c r="BF98" s="22">
        <v>0</v>
      </c>
      <c r="BG98" s="22" t="e">
        <f t="shared" si="10"/>
        <v>#REF!</v>
      </c>
      <c r="BH98" s="23" t="e">
        <f>IF(SUMPRODUCT($J$85:BG$85,$J98:BG98)&lt;0.5, "Pending", IF(BG98&lt;0.5, "Complete", "In Progress"))</f>
        <v>#REF!</v>
      </c>
      <c r="BI98" s="22">
        <v>0</v>
      </c>
      <c r="BJ98" s="22" t="e">
        <f t="shared" si="11"/>
        <v>#REF!</v>
      </c>
      <c r="BK98" s="23" t="e">
        <f>IF(SUMPRODUCT($J$85:BJ$85,$J98:BJ98)&lt;0.5, "Pending", IF(BJ98&lt;0.5, "Complete", "In Progress"))</f>
        <v>#REF!</v>
      </c>
      <c r="BL98" s="22">
        <v>0</v>
      </c>
      <c r="BM98" s="22" t="e">
        <f t="shared" si="12"/>
        <v>#REF!</v>
      </c>
      <c r="BN98" s="23" t="e">
        <f>IF(SUMPRODUCT($J$85:BM$85,$J98:BM98)&lt;0.5, "Pending", IF(BM98&lt;0.5, "Complete", "In Progress"))</f>
        <v>#REF!</v>
      </c>
      <c r="BO98" s="22">
        <v>0</v>
      </c>
      <c r="BP98" s="22" t="e">
        <f t="shared" si="13"/>
        <v>#REF!</v>
      </c>
      <c r="BQ98" s="23" t="e">
        <f>IF(SUMPRODUCT($J$85:BP$85,$J98:BP98)&lt;0.5, "Pending", IF(BP98&lt;0.5, "Complete", "In Progress"))</f>
        <v>#REF!</v>
      </c>
      <c r="BR98" s="22">
        <v>0</v>
      </c>
      <c r="BS98" s="22" t="e">
        <f t="shared" si="14"/>
        <v>#REF!</v>
      </c>
      <c r="BT98" s="23" t="e">
        <f>IF(SUMPRODUCT($J$85:BS$85,$J98:BS98)&lt;0.5, "Pending", IF(BS98&lt;0.5, "Complete", "In Progress"))</f>
        <v>#REF!</v>
      </c>
      <c r="BU98" s="22">
        <v>0</v>
      </c>
      <c r="BV98" s="22" t="e">
        <f t="shared" si="15"/>
        <v>#REF!</v>
      </c>
      <c r="BW98" s="23" t="e">
        <f>IF(SUMPRODUCT($J$85:BV$85,$J98:BV98)&lt;0.5, "Pending", IF(BV98&lt;0.5, "Complete", "In Progress"))</f>
        <v>#REF!</v>
      </c>
      <c r="BX98" s="22">
        <v>0</v>
      </c>
      <c r="BY98" s="22" t="e">
        <f t="shared" si="16"/>
        <v>#REF!</v>
      </c>
      <c r="BZ98" s="23" t="e">
        <f>IF(SUMPRODUCT($J$85:BY$85,$J98:BY98)&lt;0.5, "Pending", IF(BY98&lt;0.5, "Complete", "In Progress"))</f>
        <v>#REF!</v>
      </c>
      <c r="CA98" s="22">
        <v>0</v>
      </c>
      <c r="CB98" s="22" t="e">
        <f t="shared" si="17"/>
        <v>#REF!</v>
      </c>
      <c r="CC98" s="23" t="e">
        <f>IF(SUMPRODUCT($J$85:CB$85,$J98:CB98)&lt;0.5, "Pending", IF(CB98&lt;0.5, "Complete", "In Progress"))</f>
        <v>#REF!</v>
      </c>
      <c r="CD98" s="24"/>
      <c r="CE98" s="25">
        <f>SUMPRODUCT($H$85:AY$85,$H98:AY98)</f>
        <v>50</v>
      </c>
    </row>
    <row r="99" spans="1:83" ht="13.8" customHeight="1" x14ac:dyDescent="0.25">
      <c r="A99" s="16" t="s">
        <v>104</v>
      </c>
      <c r="B99" s="16" t="s">
        <v>108</v>
      </c>
      <c r="C99" s="16" t="s">
        <v>512</v>
      </c>
      <c r="D99" s="17" t="s">
        <v>215</v>
      </c>
      <c r="E99" s="158" t="s">
        <v>394</v>
      </c>
      <c r="F99" s="158" t="s">
        <v>496</v>
      </c>
      <c r="G99" s="19"/>
      <c r="H99" s="20">
        <v>1</v>
      </c>
      <c r="I99" s="21">
        <v>7</v>
      </c>
      <c r="J99" s="21">
        <v>0</v>
      </c>
      <c r="K99" s="21">
        <v>0</v>
      </c>
      <c r="L99" s="21">
        <v>0</v>
      </c>
      <c r="M99" s="21">
        <v>0</v>
      </c>
      <c r="N99" s="21">
        <v>0</v>
      </c>
      <c r="O99" s="21">
        <v>0</v>
      </c>
      <c r="P99" s="21">
        <v>0</v>
      </c>
      <c r="Q99" s="21">
        <v>0</v>
      </c>
      <c r="R99" s="21">
        <v>0</v>
      </c>
      <c r="S99" s="21">
        <v>0</v>
      </c>
      <c r="T99" s="21">
        <v>0</v>
      </c>
      <c r="U99" s="21">
        <v>0</v>
      </c>
      <c r="V99" s="21">
        <v>0</v>
      </c>
      <c r="W99" s="21">
        <v>0</v>
      </c>
      <c r="X99" s="21">
        <v>0</v>
      </c>
      <c r="Y99" s="21">
        <v>0</v>
      </c>
      <c r="Z99" s="21">
        <v>0</v>
      </c>
      <c r="AA99" s="21">
        <v>0</v>
      </c>
      <c r="AB99" s="21">
        <v>0</v>
      </c>
      <c r="AC99" s="21">
        <v>0</v>
      </c>
      <c r="AD99" s="21">
        <v>0</v>
      </c>
      <c r="AE99" s="21">
        <v>0</v>
      </c>
      <c r="AF99" s="21">
        <v>0</v>
      </c>
      <c r="AG99" s="21">
        <v>0</v>
      </c>
      <c r="AH99" s="21">
        <v>0</v>
      </c>
      <c r="AI99" s="21">
        <v>0</v>
      </c>
      <c r="AJ99" s="21">
        <v>0</v>
      </c>
      <c r="AK99" s="21">
        <v>0</v>
      </c>
      <c r="AL99" s="21">
        <v>0</v>
      </c>
      <c r="AM99" s="21">
        <v>0</v>
      </c>
      <c r="AN99" s="21">
        <v>0</v>
      </c>
      <c r="AO99" s="21">
        <v>0</v>
      </c>
      <c r="AP99" s="21">
        <v>0</v>
      </c>
      <c r="AQ99" s="21">
        <v>0</v>
      </c>
      <c r="AR99" s="21">
        <v>0</v>
      </c>
      <c r="AS99" s="21">
        <v>0</v>
      </c>
      <c r="AT99" s="21">
        <v>0</v>
      </c>
      <c r="AU99" s="21">
        <v>0</v>
      </c>
      <c r="AV99" s="21">
        <v>0</v>
      </c>
      <c r="AW99" s="21">
        <v>0</v>
      </c>
      <c r="AX99" s="21">
        <v>0</v>
      </c>
      <c r="AY99" s="21">
        <v>0</v>
      </c>
      <c r="AZ99" s="22">
        <v>0</v>
      </c>
      <c r="BA99" s="22" t="e">
        <f>MAX(#REF!-AZ99,0)</f>
        <v>#REF!</v>
      </c>
      <c r="BB99" s="23" t="e">
        <f>IF(SUMPRODUCT($J$85:BA$85,$J99:BA99)&lt;0.5, "Pending", IF(BA99&lt;0.5, "Complete", "In Progress"))</f>
        <v>#REF!</v>
      </c>
      <c r="BC99" s="22">
        <v>0</v>
      </c>
      <c r="BD99" s="22" t="e">
        <f t="shared" si="9"/>
        <v>#REF!</v>
      </c>
      <c r="BE99" s="23" t="e">
        <f>IF(SUMPRODUCT($J$85:BD$85,$J99:BD99)&lt;0.5, "Pending", IF(BD99&lt;0.5, "Complete", "In Progress"))</f>
        <v>#REF!</v>
      </c>
      <c r="BF99" s="22">
        <v>0</v>
      </c>
      <c r="BG99" s="22" t="e">
        <f t="shared" si="10"/>
        <v>#REF!</v>
      </c>
      <c r="BH99" s="23" t="e">
        <f>IF(SUMPRODUCT($J$85:BG$85,$J99:BG99)&lt;0.5, "Pending", IF(BG99&lt;0.5, "Complete", "In Progress"))</f>
        <v>#REF!</v>
      </c>
      <c r="BI99" s="22">
        <v>0</v>
      </c>
      <c r="BJ99" s="22" t="e">
        <f t="shared" si="11"/>
        <v>#REF!</v>
      </c>
      <c r="BK99" s="23" t="e">
        <f>IF(SUMPRODUCT($J$85:BJ$85,$J99:BJ99)&lt;0.5, "Pending", IF(BJ99&lt;0.5, "Complete", "In Progress"))</f>
        <v>#REF!</v>
      </c>
      <c r="BL99" s="22">
        <v>0</v>
      </c>
      <c r="BM99" s="22" t="e">
        <f t="shared" si="12"/>
        <v>#REF!</v>
      </c>
      <c r="BN99" s="23" t="e">
        <f>IF(SUMPRODUCT($J$85:BM$85,$J99:BM99)&lt;0.5, "Pending", IF(BM99&lt;0.5, "Complete", "In Progress"))</f>
        <v>#REF!</v>
      </c>
      <c r="BO99" s="22">
        <v>0</v>
      </c>
      <c r="BP99" s="22" t="e">
        <f t="shared" si="13"/>
        <v>#REF!</v>
      </c>
      <c r="BQ99" s="23" t="e">
        <f>IF(SUMPRODUCT($J$85:BP$85,$J99:BP99)&lt;0.5, "Pending", IF(BP99&lt;0.5, "Complete", "In Progress"))</f>
        <v>#REF!</v>
      </c>
      <c r="BR99" s="22">
        <v>0</v>
      </c>
      <c r="BS99" s="22" t="e">
        <f t="shared" si="14"/>
        <v>#REF!</v>
      </c>
      <c r="BT99" s="23" t="e">
        <f>IF(SUMPRODUCT($J$85:BS$85,$J99:BS99)&lt;0.5, "Pending", IF(BS99&lt;0.5, "Complete", "In Progress"))</f>
        <v>#REF!</v>
      </c>
      <c r="BU99" s="22">
        <v>0</v>
      </c>
      <c r="BV99" s="22" t="e">
        <f t="shared" si="15"/>
        <v>#REF!</v>
      </c>
      <c r="BW99" s="23" t="e">
        <f>IF(SUMPRODUCT($J$85:BV$85,$J99:BV99)&lt;0.5, "Pending", IF(BV99&lt;0.5, "Complete", "In Progress"))</f>
        <v>#REF!</v>
      </c>
      <c r="BX99" s="22">
        <v>0</v>
      </c>
      <c r="BY99" s="22" t="e">
        <f t="shared" si="16"/>
        <v>#REF!</v>
      </c>
      <c r="BZ99" s="23" t="e">
        <f>IF(SUMPRODUCT($J$85:BY$85,$J99:BY99)&lt;0.5, "Pending", IF(BY99&lt;0.5, "Complete", "In Progress"))</f>
        <v>#REF!</v>
      </c>
      <c r="CA99" s="22">
        <v>0</v>
      </c>
      <c r="CB99" s="22" t="e">
        <f t="shared" si="17"/>
        <v>#REF!</v>
      </c>
      <c r="CC99" s="23" t="e">
        <f>IF(SUMPRODUCT($J$85:CB$85,$J99:CB99)&lt;0.5, "Pending", IF(CB99&lt;0.5, "Complete", "In Progress"))</f>
        <v>#REF!</v>
      </c>
      <c r="CD99" s="24"/>
      <c r="CE99" s="25">
        <f>SUMPRODUCT($H$85:AY$85,$H99:AY99)</f>
        <v>50</v>
      </c>
    </row>
    <row r="100" spans="1:83" ht="13.8" customHeight="1" x14ac:dyDescent="0.25">
      <c r="A100" s="16" t="s">
        <v>104</v>
      </c>
      <c r="B100" s="16" t="s">
        <v>108</v>
      </c>
      <c r="C100" s="16" t="s">
        <v>512</v>
      </c>
      <c r="D100" s="17" t="s">
        <v>216</v>
      </c>
      <c r="E100" s="158" t="s">
        <v>395</v>
      </c>
      <c r="F100" s="158" t="s">
        <v>495</v>
      </c>
      <c r="G100" s="169"/>
      <c r="H100" s="20">
        <v>1</v>
      </c>
      <c r="I100" s="21">
        <v>7</v>
      </c>
      <c r="J100" s="21">
        <v>0</v>
      </c>
      <c r="K100" s="21">
        <v>0</v>
      </c>
      <c r="L100" s="21">
        <v>0</v>
      </c>
      <c r="M100" s="21">
        <v>0</v>
      </c>
      <c r="N100" s="21">
        <v>0</v>
      </c>
      <c r="O100" s="21">
        <v>0</v>
      </c>
      <c r="P100" s="21">
        <v>0</v>
      </c>
      <c r="Q100" s="21">
        <v>0</v>
      </c>
      <c r="R100" s="21">
        <v>0</v>
      </c>
      <c r="S100" s="21">
        <v>0</v>
      </c>
      <c r="T100" s="21">
        <v>0</v>
      </c>
      <c r="U100" s="21">
        <v>0</v>
      </c>
      <c r="V100" s="21">
        <v>0</v>
      </c>
      <c r="W100" s="21">
        <v>0</v>
      </c>
      <c r="X100" s="21">
        <v>0</v>
      </c>
      <c r="Y100" s="21">
        <v>0</v>
      </c>
      <c r="Z100" s="21">
        <v>0</v>
      </c>
      <c r="AA100" s="21">
        <v>0</v>
      </c>
      <c r="AB100" s="21">
        <v>0</v>
      </c>
      <c r="AC100" s="21">
        <v>0</v>
      </c>
      <c r="AD100" s="21">
        <v>0</v>
      </c>
      <c r="AE100" s="21">
        <v>0</v>
      </c>
      <c r="AF100" s="21">
        <v>0</v>
      </c>
      <c r="AG100" s="21">
        <v>0</v>
      </c>
      <c r="AH100" s="21">
        <v>0</v>
      </c>
      <c r="AI100" s="21">
        <v>0</v>
      </c>
      <c r="AJ100" s="21">
        <v>0</v>
      </c>
      <c r="AK100" s="21">
        <v>0</v>
      </c>
      <c r="AL100" s="21">
        <v>0</v>
      </c>
      <c r="AM100" s="21">
        <v>0</v>
      </c>
      <c r="AN100" s="21">
        <v>0</v>
      </c>
      <c r="AO100" s="21">
        <v>0</v>
      </c>
      <c r="AP100" s="21">
        <v>0</v>
      </c>
      <c r="AQ100" s="21">
        <v>0</v>
      </c>
      <c r="AR100" s="21">
        <v>0</v>
      </c>
      <c r="AS100" s="21">
        <v>0</v>
      </c>
      <c r="AT100" s="21">
        <v>0</v>
      </c>
      <c r="AU100" s="21">
        <v>0</v>
      </c>
      <c r="AV100" s="21">
        <v>0</v>
      </c>
      <c r="AW100" s="21">
        <v>0</v>
      </c>
      <c r="AX100" s="21">
        <v>0</v>
      </c>
      <c r="AY100" s="21">
        <v>0</v>
      </c>
      <c r="AZ100" s="22">
        <v>0</v>
      </c>
      <c r="BA100" s="22" t="e">
        <f>MAX(#REF!-AZ100,0)</f>
        <v>#REF!</v>
      </c>
      <c r="BB100" s="23" t="e">
        <f>IF(SUMPRODUCT($J$85:BA$85,$J100:BA100)&lt;0.5, "Pending", IF(BA100&lt;0.5, "Complete", "In Progress"))</f>
        <v>#REF!</v>
      </c>
      <c r="BC100" s="22">
        <v>0</v>
      </c>
      <c r="BD100" s="22" t="e">
        <f t="shared" si="9"/>
        <v>#REF!</v>
      </c>
      <c r="BE100" s="23" t="e">
        <f>IF(SUMPRODUCT($J$85:BD$85,$J100:BD100)&lt;0.5, "Pending", IF(BD100&lt;0.5, "Complete", "In Progress"))</f>
        <v>#REF!</v>
      </c>
      <c r="BF100" s="22">
        <v>0</v>
      </c>
      <c r="BG100" s="22" t="e">
        <f t="shared" si="10"/>
        <v>#REF!</v>
      </c>
      <c r="BH100" s="23" t="e">
        <f>IF(SUMPRODUCT($J$85:BG$85,$J100:BG100)&lt;0.5, "Pending", IF(BG100&lt;0.5, "Complete", "In Progress"))</f>
        <v>#REF!</v>
      </c>
      <c r="BI100" s="22">
        <v>0</v>
      </c>
      <c r="BJ100" s="22" t="e">
        <f t="shared" si="11"/>
        <v>#REF!</v>
      </c>
      <c r="BK100" s="23" t="e">
        <f>IF(SUMPRODUCT($J$85:BJ$85,$J100:BJ100)&lt;0.5, "Pending", IF(BJ100&lt;0.5, "Complete", "In Progress"))</f>
        <v>#REF!</v>
      </c>
      <c r="BL100" s="22">
        <v>0</v>
      </c>
      <c r="BM100" s="22" t="e">
        <f t="shared" si="12"/>
        <v>#REF!</v>
      </c>
      <c r="BN100" s="23" t="e">
        <f>IF(SUMPRODUCT($J$85:BM$85,$J100:BM100)&lt;0.5, "Pending", IF(BM100&lt;0.5, "Complete", "In Progress"))</f>
        <v>#REF!</v>
      </c>
      <c r="BO100" s="22">
        <v>0</v>
      </c>
      <c r="BP100" s="22" t="e">
        <f t="shared" si="13"/>
        <v>#REF!</v>
      </c>
      <c r="BQ100" s="23" t="e">
        <f>IF(SUMPRODUCT($J$85:BP$85,$J100:BP100)&lt;0.5, "Pending", IF(BP100&lt;0.5, "Complete", "In Progress"))</f>
        <v>#REF!</v>
      </c>
      <c r="BR100" s="22">
        <v>0</v>
      </c>
      <c r="BS100" s="22" t="e">
        <f t="shared" si="14"/>
        <v>#REF!</v>
      </c>
      <c r="BT100" s="23" t="e">
        <f>IF(SUMPRODUCT($J$85:BS$85,$J100:BS100)&lt;0.5, "Pending", IF(BS100&lt;0.5, "Complete", "In Progress"))</f>
        <v>#REF!</v>
      </c>
      <c r="BU100" s="22">
        <v>0</v>
      </c>
      <c r="BV100" s="22" t="e">
        <f t="shared" si="15"/>
        <v>#REF!</v>
      </c>
      <c r="BW100" s="23" t="e">
        <f>IF(SUMPRODUCT($J$85:BV$85,$J100:BV100)&lt;0.5, "Pending", IF(BV100&lt;0.5, "Complete", "In Progress"))</f>
        <v>#REF!</v>
      </c>
      <c r="BX100" s="22">
        <v>0</v>
      </c>
      <c r="BY100" s="22" t="e">
        <f t="shared" si="16"/>
        <v>#REF!</v>
      </c>
      <c r="BZ100" s="23" t="e">
        <f>IF(SUMPRODUCT($J$85:BY$85,$J100:BY100)&lt;0.5, "Pending", IF(BY100&lt;0.5, "Complete", "In Progress"))</f>
        <v>#REF!</v>
      </c>
      <c r="CA100" s="22">
        <v>0</v>
      </c>
      <c r="CB100" s="22" t="e">
        <f t="shared" si="17"/>
        <v>#REF!</v>
      </c>
      <c r="CC100" s="23" t="e">
        <f>IF(SUMPRODUCT($J$85:CB$85,$J100:CB100)&lt;0.5, "Pending", IF(CB100&lt;0.5, "Complete", "In Progress"))</f>
        <v>#REF!</v>
      </c>
      <c r="CD100" s="24"/>
      <c r="CE100" s="25">
        <f>SUMPRODUCT($H$85:AY$85,$H100:AY100)</f>
        <v>50</v>
      </c>
    </row>
    <row r="101" spans="1:83" ht="13.8" customHeight="1" x14ac:dyDescent="0.25">
      <c r="A101" s="16" t="s">
        <v>103</v>
      </c>
      <c r="B101" s="16" t="s">
        <v>112</v>
      </c>
      <c r="C101" s="16" t="s">
        <v>512</v>
      </c>
      <c r="D101" s="17" t="s">
        <v>217</v>
      </c>
      <c r="E101" s="158" t="s">
        <v>396</v>
      </c>
      <c r="F101" s="158" t="s">
        <v>493</v>
      </c>
      <c r="G101" s="168"/>
      <c r="H101" s="20">
        <v>1</v>
      </c>
      <c r="I101" s="21">
        <v>56</v>
      </c>
      <c r="J101" s="21">
        <v>0</v>
      </c>
      <c r="K101" s="21">
        <v>0</v>
      </c>
      <c r="L101" s="21">
        <v>0</v>
      </c>
      <c r="M101" s="21">
        <v>0</v>
      </c>
      <c r="N101" s="21">
        <v>0</v>
      </c>
      <c r="O101" s="21">
        <v>0</v>
      </c>
      <c r="P101" s="21">
        <v>0</v>
      </c>
      <c r="Q101" s="21">
        <v>0</v>
      </c>
      <c r="R101" s="21">
        <v>0</v>
      </c>
      <c r="S101" s="21">
        <v>0</v>
      </c>
      <c r="T101" s="21">
        <v>0</v>
      </c>
      <c r="U101" s="21">
        <v>0</v>
      </c>
      <c r="V101" s="21">
        <v>0</v>
      </c>
      <c r="W101" s="21">
        <v>0</v>
      </c>
      <c r="X101" s="21">
        <v>0</v>
      </c>
      <c r="Y101" s="21">
        <v>0</v>
      </c>
      <c r="Z101" s="21">
        <v>0</v>
      </c>
      <c r="AA101" s="21">
        <v>0</v>
      </c>
      <c r="AB101" s="21">
        <v>0</v>
      </c>
      <c r="AC101" s="21">
        <v>0</v>
      </c>
      <c r="AD101" s="21">
        <v>0</v>
      </c>
      <c r="AE101" s="21">
        <v>0</v>
      </c>
      <c r="AF101" s="21">
        <v>0</v>
      </c>
      <c r="AG101" s="21">
        <v>0</v>
      </c>
      <c r="AH101" s="21">
        <v>0</v>
      </c>
      <c r="AI101" s="21">
        <v>0</v>
      </c>
      <c r="AJ101" s="21">
        <v>0</v>
      </c>
      <c r="AK101" s="21">
        <v>0</v>
      </c>
      <c r="AL101" s="21">
        <v>0</v>
      </c>
      <c r="AM101" s="21">
        <v>0</v>
      </c>
      <c r="AN101" s="21">
        <v>0</v>
      </c>
      <c r="AO101" s="21">
        <v>0</v>
      </c>
      <c r="AP101" s="21">
        <v>0</v>
      </c>
      <c r="AQ101" s="21">
        <v>0</v>
      </c>
      <c r="AR101" s="21">
        <v>0</v>
      </c>
      <c r="AS101" s="21">
        <v>0</v>
      </c>
      <c r="AT101" s="21">
        <v>0</v>
      </c>
      <c r="AU101" s="21">
        <v>0</v>
      </c>
      <c r="AV101" s="21">
        <v>0</v>
      </c>
      <c r="AW101" s="21">
        <v>0</v>
      </c>
      <c r="AX101" s="21">
        <v>0</v>
      </c>
      <c r="AY101" s="21">
        <v>0</v>
      </c>
      <c r="AZ101" s="22">
        <v>0</v>
      </c>
      <c r="BA101" s="22" t="e">
        <f>MAX(#REF!-AZ101,0)</f>
        <v>#REF!</v>
      </c>
      <c r="BB101" s="23" t="e">
        <f>IF(SUMPRODUCT($J$85:BA$85,$J101:BA101)&lt;0.5, "Pending", IF(BA101&lt;0.5, "Complete", "In Progress"))</f>
        <v>#REF!</v>
      </c>
      <c r="BC101" s="22">
        <v>0</v>
      </c>
      <c r="BD101" s="22" t="e">
        <f t="shared" si="9"/>
        <v>#REF!</v>
      </c>
      <c r="BE101" s="23" t="e">
        <f>IF(SUMPRODUCT($J$85:BD$85,$J101:BD101)&lt;0.5, "Pending", IF(BD101&lt;0.5, "Complete", "In Progress"))</f>
        <v>#REF!</v>
      </c>
      <c r="BF101" s="22">
        <v>0</v>
      </c>
      <c r="BG101" s="22" t="e">
        <f t="shared" si="10"/>
        <v>#REF!</v>
      </c>
      <c r="BH101" s="23" t="e">
        <f>IF(SUMPRODUCT($J$85:BG$85,$J101:BG101)&lt;0.5, "Pending", IF(BG101&lt;0.5, "Complete", "In Progress"))</f>
        <v>#REF!</v>
      </c>
      <c r="BI101" s="22">
        <v>0</v>
      </c>
      <c r="BJ101" s="22" t="e">
        <f t="shared" si="11"/>
        <v>#REF!</v>
      </c>
      <c r="BK101" s="23" t="e">
        <f>IF(SUMPRODUCT($J$85:BJ$85,$J101:BJ101)&lt;0.5, "Pending", IF(BJ101&lt;0.5, "Complete", "In Progress"))</f>
        <v>#REF!</v>
      </c>
      <c r="BL101" s="22">
        <v>0</v>
      </c>
      <c r="BM101" s="22" t="e">
        <f t="shared" si="12"/>
        <v>#REF!</v>
      </c>
      <c r="BN101" s="23" t="e">
        <f>IF(SUMPRODUCT($J$85:BM$85,$J101:BM101)&lt;0.5, "Pending", IF(BM101&lt;0.5, "Complete", "In Progress"))</f>
        <v>#REF!</v>
      </c>
      <c r="BO101" s="22">
        <v>0</v>
      </c>
      <c r="BP101" s="22" t="e">
        <f t="shared" si="13"/>
        <v>#REF!</v>
      </c>
      <c r="BQ101" s="23" t="e">
        <f>IF(SUMPRODUCT($J$85:BP$85,$J101:BP101)&lt;0.5, "Pending", IF(BP101&lt;0.5, "Complete", "In Progress"))</f>
        <v>#REF!</v>
      </c>
      <c r="BR101" s="22">
        <v>0</v>
      </c>
      <c r="BS101" s="22" t="e">
        <f t="shared" si="14"/>
        <v>#REF!</v>
      </c>
      <c r="BT101" s="23" t="e">
        <f>IF(SUMPRODUCT($J$85:BS$85,$J101:BS101)&lt;0.5, "Pending", IF(BS101&lt;0.5, "Complete", "In Progress"))</f>
        <v>#REF!</v>
      </c>
      <c r="BU101" s="22">
        <v>0</v>
      </c>
      <c r="BV101" s="22" t="e">
        <f t="shared" si="15"/>
        <v>#REF!</v>
      </c>
      <c r="BW101" s="23" t="e">
        <f>IF(SUMPRODUCT($J$85:BV$85,$J101:BV101)&lt;0.5, "Pending", IF(BV101&lt;0.5, "Complete", "In Progress"))</f>
        <v>#REF!</v>
      </c>
      <c r="BX101" s="22">
        <v>0</v>
      </c>
      <c r="BY101" s="22" t="e">
        <f t="shared" si="16"/>
        <v>#REF!</v>
      </c>
      <c r="BZ101" s="23" t="e">
        <f>IF(SUMPRODUCT($J$85:BY$85,$J101:BY101)&lt;0.5, "Pending", IF(BY101&lt;0.5, "Complete", "In Progress"))</f>
        <v>#REF!</v>
      </c>
      <c r="CA101" s="22">
        <v>0</v>
      </c>
      <c r="CB101" s="22" t="e">
        <f t="shared" si="17"/>
        <v>#REF!</v>
      </c>
      <c r="CC101" s="23" t="e">
        <f>IF(SUMPRODUCT($J$85:CB$85,$J101:CB101)&lt;0.5, "Pending", IF(CB101&lt;0.5, "Complete", "In Progress"))</f>
        <v>#REF!</v>
      </c>
      <c r="CD101" s="24"/>
      <c r="CE101" s="25">
        <f>SUMPRODUCT($H$85:AY$85,$H101:AY101)</f>
        <v>393</v>
      </c>
    </row>
    <row r="102" spans="1:83" ht="13.8" customHeight="1" x14ac:dyDescent="0.25">
      <c r="A102" s="16" t="s">
        <v>104</v>
      </c>
      <c r="B102" s="16" t="s">
        <v>112</v>
      </c>
      <c r="C102" s="16" t="s">
        <v>512</v>
      </c>
      <c r="D102" s="17" t="s">
        <v>218</v>
      </c>
      <c r="E102" s="158" t="s">
        <v>397</v>
      </c>
      <c r="F102" s="158" t="s">
        <v>494</v>
      </c>
      <c r="G102" s="19"/>
      <c r="H102" s="20">
        <v>1</v>
      </c>
      <c r="I102" s="21">
        <v>7</v>
      </c>
      <c r="J102" s="21">
        <v>0</v>
      </c>
      <c r="K102" s="21">
        <v>0</v>
      </c>
      <c r="L102" s="21">
        <v>0</v>
      </c>
      <c r="M102" s="21">
        <v>0</v>
      </c>
      <c r="N102" s="21">
        <v>0</v>
      </c>
      <c r="O102" s="21">
        <v>0</v>
      </c>
      <c r="P102" s="21">
        <v>0</v>
      </c>
      <c r="Q102" s="21">
        <v>0</v>
      </c>
      <c r="R102" s="21">
        <v>0</v>
      </c>
      <c r="S102" s="21">
        <v>0</v>
      </c>
      <c r="T102" s="21">
        <v>0</v>
      </c>
      <c r="U102" s="21">
        <v>0</v>
      </c>
      <c r="V102" s="21">
        <v>0</v>
      </c>
      <c r="W102" s="21">
        <v>0</v>
      </c>
      <c r="X102" s="21">
        <v>0</v>
      </c>
      <c r="Y102" s="21">
        <v>0</v>
      </c>
      <c r="Z102" s="21">
        <v>0</v>
      </c>
      <c r="AA102" s="21">
        <v>0</v>
      </c>
      <c r="AB102" s="21">
        <v>0</v>
      </c>
      <c r="AC102" s="21">
        <v>0</v>
      </c>
      <c r="AD102" s="21">
        <v>0</v>
      </c>
      <c r="AE102" s="21">
        <v>0</v>
      </c>
      <c r="AF102" s="21">
        <v>0</v>
      </c>
      <c r="AG102" s="21">
        <v>0</v>
      </c>
      <c r="AH102" s="21">
        <v>0</v>
      </c>
      <c r="AI102" s="21">
        <v>0</v>
      </c>
      <c r="AJ102" s="21">
        <v>0</v>
      </c>
      <c r="AK102" s="21">
        <v>0</v>
      </c>
      <c r="AL102" s="21">
        <v>0</v>
      </c>
      <c r="AM102" s="21">
        <v>0</v>
      </c>
      <c r="AN102" s="21">
        <v>0</v>
      </c>
      <c r="AO102" s="21">
        <v>0</v>
      </c>
      <c r="AP102" s="21">
        <v>0</v>
      </c>
      <c r="AQ102" s="21">
        <v>0</v>
      </c>
      <c r="AR102" s="21">
        <v>0</v>
      </c>
      <c r="AS102" s="21">
        <v>0</v>
      </c>
      <c r="AT102" s="21">
        <v>0</v>
      </c>
      <c r="AU102" s="21">
        <v>0</v>
      </c>
      <c r="AV102" s="21">
        <v>0</v>
      </c>
      <c r="AW102" s="21">
        <v>0</v>
      </c>
      <c r="AX102" s="21">
        <v>0</v>
      </c>
      <c r="AY102" s="21">
        <v>0</v>
      </c>
      <c r="AZ102" s="22">
        <v>0</v>
      </c>
      <c r="BA102" s="22" t="e">
        <f>MAX(#REF!-AZ102,0)</f>
        <v>#REF!</v>
      </c>
      <c r="BB102" s="23" t="e">
        <f>IF(SUMPRODUCT($J$85:BA$85,$J102:BA102)&lt;0.5, "Pending", IF(BA102&lt;0.5, "Complete", "In Progress"))</f>
        <v>#REF!</v>
      </c>
      <c r="BC102" s="22">
        <v>0</v>
      </c>
      <c r="BD102" s="22" t="e">
        <f t="shared" si="9"/>
        <v>#REF!</v>
      </c>
      <c r="BE102" s="23" t="e">
        <f>IF(SUMPRODUCT($J$85:BD$85,$J102:BD102)&lt;0.5, "Pending", IF(BD102&lt;0.5, "Complete", "In Progress"))</f>
        <v>#REF!</v>
      </c>
      <c r="BF102" s="22">
        <v>0</v>
      </c>
      <c r="BG102" s="22" t="e">
        <f t="shared" si="10"/>
        <v>#REF!</v>
      </c>
      <c r="BH102" s="23" t="e">
        <f>IF(SUMPRODUCT($J$85:BG$85,$J102:BG102)&lt;0.5, "Pending", IF(BG102&lt;0.5, "Complete", "In Progress"))</f>
        <v>#REF!</v>
      </c>
      <c r="BI102" s="22">
        <v>0</v>
      </c>
      <c r="BJ102" s="22" t="e">
        <f t="shared" si="11"/>
        <v>#REF!</v>
      </c>
      <c r="BK102" s="23" t="e">
        <f>IF(SUMPRODUCT($J$85:BJ$85,$J102:BJ102)&lt;0.5, "Pending", IF(BJ102&lt;0.5, "Complete", "In Progress"))</f>
        <v>#REF!</v>
      </c>
      <c r="BL102" s="22">
        <v>0</v>
      </c>
      <c r="BM102" s="22" t="e">
        <f t="shared" si="12"/>
        <v>#REF!</v>
      </c>
      <c r="BN102" s="23" t="e">
        <f>IF(SUMPRODUCT($J$85:BM$85,$J102:BM102)&lt;0.5, "Pending", IF(BM102&lt;0.5, "Complete", "In Progress"))</f>
        <v>#REF!</v>
      </c>
      <c r="BO102" s="22">
        <v>0</v>
      </c>
      <c r="BP102" s="22" t="e">
        <f t="shared" si="13"/>
        <v>#REF!</v>
      </c>
      <c r="BQ102" s="23" t="e">
        <f>IF(SUMPRODUCT($J$85:BP$85,$J102:BP102)&lt;0.5, "Pending", IF(BP102&lt;0.5, "Complete", "In Progress"))</f>
        <v>#REF!</v>
      </c>
      <c r="BR102" s="22">
        <v>0</v>
      </c>
      <c r="BS102" s="22" t="e">
        <f t="shared" si="14"/>
        <v>#REF!</v>
      </c>
      <c r="BT102" s="23" t="e">
        <f>IF(SUMPRODUCT($J$85:BS$85,$J102:BS102)&lt;0.5, "Pending", IF(BS102&lt;0.5, "Complete", "In Progress"))</f>
        <v>#REF!</v>
      </c>
      <c r="BU102" s="22">
        <v>0</v>
      </c>
      <c r="BV102" s="22" t="e">
        <f t="shared" si="15"/>
        <v>#REF!</v>
      </c>
      <c r="BW102" s="23" t="e">
        <f>IF(SUMPRODUCT($J$85:BV$85,$J102:BV102)&lt;0.5, "Pending", IF(BV102&lt;0.5, "Complete", "In Progress"))</f>
        <v>#REF!</v>
      </c>
      <c r="BX102" s="22">
        <v>0</v>
      </c>
      <c r="BY102" s="22" t="e">
        <f t="shared" si="16"/>
        <v>#REF!</v>
      </c>
      <c r="BZ102" s="23" t="e">
        <f>IF(SUMPRODUCT($J$85:BY$85,$J102:BY102)&lt;0.5, "Pending", IF(BY102&lt;0.5, "Complete", "In Progress"))</f>
        <v>#REF!</v>
      </c>
      <c r="CA102" s="22">
        <v>0</v>
      </c>
      <c r="CB102" s="22" t="e">
        <f t="shared" si="17"/>
        <v>#REF!</v>
      </c>
      <c r="CC102" s="23" t="e">
        <f>IF(SUMPRODUCT($J$85:CB$85,$J102:CB102)&lt;0.5, "Pending", IF(CB102&lt;0.5, "Complete", "In Progress"))</f>
        <v>#REF!</v>
      </c>
      <c r="CD102" s="24"/>
      <c r="CE102" s="25">
        <f>SUMPRODUCT($H$85:AY$85,$H102:AY102)</f>
        <v>50</v>
      </c>
    </row>
    <row r="103" spans="1:83" ht="13.8" customHeight="1" x14ac:dyDescent="0.25">
      <c r="A103" s="16" t="s">
        <v>104</v>
      </c>
      <c r="B103" s="16" t="s">
        <v>112</v>
      </c>
      <c r="C103" s="16" t="s">
        <v>512</v>
      </c>
      <c r="D103" s="17" t="s">
        <v>219</v>
      </c>
      <c r="E103" s="158" t="s">
        <v>398</v>
      </c>
      <c r="F103" s="158" t="s">
        <v>497</v>
      </c>
      <c r="G103" s="19"/>
      <c r="H103" s="20">
        <v>1</v>
      </c>
      <c r="I103" s="21">
        <v>7</v>
      </c>
      <c r="J103" s="21">
        <v>0</v>
      </c>
      <c r="K103" s="21">
        <v>0</v>
      </c>
      <c r="L103" s="21">
        <v>0</v>
      </c>
      <c r="M103" s="21">
        <v>0</v>
      </c>
      <c r="N103" s="21">
        <v>0</v>
      </c>
      <c r="O103" s="21">
        <v>0</v>
      </c>
      <c r="P103" s="21">
        <v>0</v>
      </c>
      <c r="Q103" s="21">
        <v>0</v>
      </c>
      <c r="R103" s="21">
        <v>0</v>
      </c>
      <c r="S103" s="21">
        <v>0</v>
      </c>
      <c r="T103" s="21">
        <v>0</v>
      </c>
      <c r="U103" s="21">
        <v>0</v>
      </c>
      <c r="V103" s="21">
        <v>0</v>
      </c>
      <c r="W103" s="21">
        <v>0</v>
      </c>
      <c r="X103" s="21">
        <v>0</v>
      </c>
      <c r="Y103" s="21">
        <v>0</v>
      </c>
      <c r="Z103" s="21">
        <v>0</v>
      </c>
      <c r="AA103" s="21">
        <v>0</v>
      </c>
      <c r="AB103" s="21">
        <v>0</v>
      </c>
      <c r="AC103" s="21">
        <v>0</v>
      </c>
      <c r="AD103" s="21">
        <v>0</v>
      </c>
      <c r="AE103" s="21">
        <v>0</v>
      </c>
      <c r="AF103" s="21">
        <v>0</v>
      </c>
      <c r="AG103" s="21">
        <v>0</v>
      </c>
      <c r="AH103" s="21">
        <v>0</v>
      </c>
      <c r="AI103" s="21">
        <v>0</v>
      </c>
      <c r="AJ103" s="21">
        <v>0</v>
      </c>
      <c r="AK103" s="21">
        <v>0</v>
      </c>
      <c r="AL103" s="21">
        <v>0</v>
      </c>
      <c r="AM103" s="21">
        <v>0</v>
      </c>
      <c r="AN103" s="21">
        <v>0</v>
      </c>
      <c r="AO103" s="21">
        <v>0</v>
      </c>
      <c r="AP103" s="21">
        <v>0</v>
      </c>
      <c r="AQ103" s="21">
        <v>0</v>
      </c>
      <c r="AR103" s="21">
        <v>0</v>
      </c>
      <c r="AS103" s="21">
        <v>0</v>
      </c>
      <c r="AT103" s="21">
        <v>0</v>
      </c>
      <c r="AU103" s="21">
        <v>0</v>
      </c>
      <c r="AV103" s="21">
        <v>0</v>
      </c>
      <c r="AW103" s="21">
        <v>0</v>
      </c>
      <c r="AX103" s="21">
        <v>0</v>
      </c>
      <c r="AY103" s="21">
        <v>0</v>
      </c>
      <c r="AZ103" s="22">
        <v>0</v>
      </c>
      <c r="BA103" s="22" t="e">
        <f>MAX(#REF!-AZ103,0)</f>
        <v>#REF!</v>
      </c>
      <c r="BB103" s="23" t="e">
        <f>IF(SUMPRODUCT($J$85:BA$85,$J103:BA103)&lt;0.5, "Pending", IF(BA103&lt;0.5, "Complete", "In Progress"))</f>
        <v>#REF!</v>
      </c>
      <c r="BC103" s="22">
        <v>0</v>
      </c>
      <c r="BD103" s="22" t="e">
        <f t="shared" si="9"/>
        <v>#REF!</v>
      </c>
      <c r="BE103" s="23" t="e">
        <f>IF(SUMPRODUCT($J$85:BD$85,$J103:BD103)&lt;0.5, "Pending", IF(BD103&lt;0.5, "Complete", "In Progress"))</f>
        <v>#REF!</v>
      </c>
      <c r="BF103" s="22">
        <v>0</v>
      </c>
      <c r="BG103" s="22" t="e">
        <f t="shared" si="10"/>
        <v>#REF!</v>
      </c>
      <c r="BH103" s="23" t="e">
        <f>IF(SUMPRODUCT($J$85:BG$85,$J103:BG103)&lt;0.5, "Pending", IF(BG103&lt;0.5, "Complete", "In Progress"))</f>
        <v>#REF!</v>
      </c>
      <c r="BI103" s="22">
        <v>0</v>
      </c>
      <c r="BJ103" s="22" t="e">
        <f t="shared" si="11"/>
        <v>#REF!</v>
      </c>
      <c r="BK103" s="23" t="e">
        <f>IF(SUMPRODUCT($J$85:BJ$85,$J103:BJ103)&lt;0.5, "Pending", IF(BJ103&lt;0.5, "Complete", "In Progress"))</f>
        <v>#REF!</v>
      </c>
      <c r="BL103" s="22">
        <v>0</v>
      </c>
      <c r="BM103" s="22" t="e">
        <f t="shared" si="12"/>
        <v>#REF!</v>
      </c>
      <c r="BN103" s="23" t="e">
        <f>IF(SUMPRODUCT($J$85:BM$85,$J103:BM103)&lt;0.5, "Pending", IF(BM103&lt;0.5, "Complete", "In Progress"))</f>
        <v>#REF!</v>
      </c>
      <c r="BO103" s="22">
        <v>0</v>
      </c>
      <c r="BP103" s="22" t="e">
        <f t="shared" si="13"/>
        <v>#REF!</v>
      </c>
      <c r="BQ103" s="23" t="e">
        <f>IF(SUMPRODUCT($J$85:BP$85,$J103:BP103)&lt;0.5, "Pending", IF(BP103&lt;0.5, "Complete", "In Progress"))</f>
        <v>#REF!</v>
      </c>
      <c r="BR103" s="22">
        <v>0</v>
      </c>
      <c r="BS103" s="22" t="e">
        <f t="shared" si="14"/>
        <v>#REF!</v>
      </c>
      <c r="BT103" s="23" t="e">
        <f>IF(SUMPRODUCT($J$85:BS$85,$J103:BS103)&lt;0.5, "Pending", IF(BS103&lt;0.5, "Complete", "In Progress"))</f>
        <v>#REF!</v>
      </c>
      <c r="BU103" s="22">
        <v>0</v>
      </c>
      <c r="BV103" s="22" t="e">
        <f t="shared" si="15"/>
        <v>#REF!</v>
      </c>
      <c r="BW103" s="23" t="e">
        <f>IF(SUMPRODUCT($J$85:BV$85,$J103:BV103)&lt;0.5, "Pending", IF(BV103&lt;0.5, "Complete", "In Progress"))</f>
        <v>#REF!</v>
      </c>
      <c r="BX103" s="22">
        <v>0</v>
      </c>
      <c r="BY103" s="22" t="e">
        <f t="shared" si="16"/>
        <v>#REF!</v>
      </c>
      <c r="BZ103" s="23" t="e">
        <f>IF(SUMPRODUCT($J$85:BY$85,$J103:BY103)&lt;0.5, "Pending", IF(BY103&lt;0.5, "Complete", "In Progress"))</f>
        <v>#REF!</v>
      </c>
      <c r="CA103" s="22">
        <v>0</v>
      </c>
      <c r="CB103" s="22" t="e">
        <f t="shared" si="17"/>
        <v>#REF!</v>
      </c>
      <c r="CC103" s="23" t="e">
        <f>IF(SUMPRODUCT($J$85:CB$85,$J103:CB103)&lt;0.5, "Pending", IF(CB103&lt;0.5, "Complete", "In Progress"))</f>
        <v>#REF!</v>
      </c>
      <c r="CD103" s="24"/>
      <c r="CE103" s="25">
        <f>SUMPRODUCT($H$85:AY$85,$H103:AY103)</f>
        <v>50</v>
      </c>
    </row>
    <row r="104" spans="1:83" ht="13.8" customHeight="1" x14ac:dyDescent="0.25">
      <c r="A104" s="16" t="s">
        <v>103</v>
      </c>
      <c r="B104" s="16" t="s">
        <v>114</v>
      </c>
      <c r="C104" s="16" t="s">
        <v>512</v>
      </c>
      <c r="D104" s="17" t="s">
        <v>220</v>
      </c>
      <c r="E104" s="158" t="s">
        <v>399</v>
      </c>
      <c r="F104" s="158" t="s">
        <v>498</v>
      </c>
      <c r="G104" s="19"/>
      <c r="H104" s="20">
        <v>1</v>
      </c>
      <c r="I104" s="21">
        <v>7</v>
      </c>
      <c r="J104" s="21">
        <v>0</v>
      </c>
      <c r="K104" s="21">
        <v>0</v>
      </c>
      <c r="L104" s="21">
        <v>0</v>
      </c>
      <c r="M104" s="21">
        <v>0</v>
      </c>
      <c r="N104" s="21">
        <v>0</v>
      </c>
      <c r="O104" s="21">
        <v>0</v>
      </c>
      <c r="P104" s="21">
        <v>0</v>
      </c>
      <c r="Q104" s="21">
        <v>0</v>
      </c>
      <c r="R104" s="21">
        <v>0</v>
      </c>
      <c r="S104" s="21">
        <v>0</v>
      </c>
      <c r="T104" s="21">
        <v>0</v>
      </c>
      <c r="U104" s="21">
        <v>0</v>
      </c>
      <c r="V104" s="21">
        <v>0</v>
      </c>
      <c r="W104" s="21">
        <v>0</v>
      </c>
      <c r="X104" s="21">
        <v>0</v>
      </c>
      <c r="Y104" s="21">
        <v>0</v>
      </c>
      <c r="Z104" s="21">
        <v>0</v>
      </c>
      <c r="AA104" s="21">
        <v>0</v>
      </c>
      <c r="AB104" s="21">
        <v>0</v>
      </c>
      <c r="AC104" s="21">
        <v>0</v>
      </c>
      <c r="AD104" s="21">
        <v>0</v>
      </c>
      <c r="AE104" s="21">
        <v>0</v>
      </c>
      <c r="AF104" s="21">
        <v>0</v>
      </c>
      <c r="AG104" s="21">
        <v>0</v>
      </c>
      <c r="AH104" s="21">
        <v>0</v>
      </c>
      <c r="AI104" s="21">
        <v>0</v>
      </c>
      <c r="AJ104" s="21">
        <v>0</v>
      </c>
      <c r="AK104" s="21">
        <v>0</v>
      </c>
      <c r="AL104" s="21">
        <v>0</v>
      </c>
      <c r="AM104" s="21">
        <v>0</v>
      </c>
      <c r="AN104" s="21">
        <v>0</v>
      </c>
      <c r="AO104" s="21">
        <v>0</v>
      </c>
      <c r="AP104" s="21">
        <v>0</v>
      </c>
      <c r="AQ104" s="21">
        <v>0</v>
      </c>
      <c r="AR104" s="21">
        <v>0</v>
      </c>
      <c r="AS104" s="21">
        <v>0</v>
      </c>
      <c r="AT104" s="21">
        <v>0</v>
      </c>
      <c r="AU104" s="21">
        <v>0</v>
      </c>
      <c r="AV104" s="21">
        <v>0</v>
      </c>
      <c r="AW104" s="21">
        <v>0</v>
      </c>
      <c r="AX104" s="21">
        <v>0</v>
      </c>
      <c r="AY104" s="21">
        <v>0</v>
      </c>
      <c r="AZ104" s="22">
        <v>0</v>
      </c>
      <c r="BA104" s="22" t="e">
        <f>MAX(#REF!-AZ104,0)</f>
        <v>#REF!</v>
      </c>
      <c r="BB104" s="23" t="e">
        <f>IF(SUMPRODUCT($J$85:BA$85,$J104:BA104)&lt;0.5, "Pending", IF(BA104&lt;0.5, "Complete", "In Progress"))</f>
        <v>#REF!</v>
      </c>
      <c r="BC104" s="22">
        <v>0</v>
      </c>
      <c r="BD104" s="22" t="e">
        <f t="shared" si="9"/>
        <v>#REF!</v>
      </c>
      <c r="BE104" s="23" t="e">
        <f>IF(SUMPRODUCT($J$85:BD$85,$J104:BD104)&lt;0.5, "Pending", IF(BD104&lt;0.5, "Complete", "In Progress"))</f>
        <v>#REF!</v>
      </c>
      <c r="BF104" s="22">
        <v>0</v>
      </c>
      <c r="BG104" s="22" t="e">
        <f t="shared" si="10"/>
        <v>#REF!</v>
      </c>
      <c r="BH104" s="23" t="e">
        <f>IF(SUMPRODUCT($J$85:BG$85,$J104:BG104)&lt;0.5, "Pending", IF(BG104&lt;0.5, "Complete", "In Progress"))</f>
        <v>#REF!</v>
      </c>
      <c r="BI104" s="22">
        <v>0</v>
      </c>
      <c r="BJ104" s="22" t="e">
        <f t="shared" si="11"/>
        <v>#REF!</v>
      </c>
      <c r="BK104" s="23" t="e">
        <f>IF(SUMPRODUCT($J$85:BJ$85,$J104:BJ104)&lt;0.5, "Pending", IF(BJ104&lt;0.5, "Complete", "In Progress"))</f>
        <v>#REF!</v>
      </c>
      <c r="BL104" s="22">
        <v>0</v>
      </c>
      <c r="BM104" s="22" t="e">
        <f t="shared" si="12"/>
        <v>#REF!</v>
      </c>
      <c r="BN104" s="23" t="e">
        <f>IF(SUMPRODUCT($J$85:BM$85,$J104:BM104)&lt;0.5, "Pending", IF(BM104&lt;0.5, "Complete", "In Progress"))</f>
        <v>#REF!</v>
      </c>
      <c r="BO104" s="22">
        <v>0</v>
      </c>
      <c r="BP104" s="22" t="e">
        <f t="shared" si="13"/>
        <v>#REF!</v>
      </c>
      <c r="BQ104" s="23" t="e">
        <f>IF(SUMPRODUCT($J$85:BP$85,$J104:BP104)&lt;0.5, "Pending", IF(BP104&lt;0.5, "Complete", "In Progress"))</f>
        <v>#REF!</v>
      </c>
      <c r="BR104" s="22">
        <v>0</v>
      </c>
      <c r="BS104" s="22" t="e">
        <f t="shared" si="14"/>
        <v>#REF!</v>
      </c>
      <c r="BT104" s="23" t="e">
        <f>IF(SUMPRODUCT($J$85:BS$85,$J104:BS104)&lt;0.5, "Pending", IF(BS104&lt;0.5, "Complete", "In Progress"))</f>
        <v>#REF!</v>
      </c>
      <c r="BU104" s="22">
        <v>0</v>
      </c>
      <c r="BV104" s="22" t="e">
        <f t="shared" si="15"/>
        <v>#REF!</v>
      </c>
      <c r="BW104" s="23" t="e">
        <f>IF(SUMPRODUCT($J$85:BV$85,$J104:BV104)&lt;0.5, "Pending", IF(BV104&lt;0.5, "Complete", "In Progress"))</f>
        <v>#REF!</v>
      </c>
      <c r="BX104" s="22">
        <v>0</v>
      </c>
      <c r="BY104" s="22" t="e">
        <f t="shared" si="16"/>
        <v>#REF!</v>
      </c>
      <c r="BZ104" s="23" t="e">
        <f>IF(SUMPRODUCT($J$85:BY$85,$J104:BY104)&lt;0.5, "Pending", IF(BY104&lt;0.5, "Complete", "In Progress"))</f>
        <v>#REF!</v>
      </c>
      <c r="CA104" s="22">
        <v>0</v>
      </c>
      <c r="CB104" s="22" t="e">
        <f t="shared" si="17"/>
        <v>#REF!</v>
      </c>
      <c r="CC104" s="23" t="e">
        <f>IF(SUMPRODUCT($J$85:CB$85,$J104:CB104)&lt;0.5, "Pending", IF(CB104&lt;0.5, "Complete", "In Progress"))</f>
        <v>#REF!</v>
      </c>
      <c r="CD104" s="24"/>
      <c r="CE104" s="25">
        <f>SUMPRODUCT($H$85:AY$85,$H104:AY104)</f>
        <v>50</v>
      </c>
    </row>
    <row r="105" spans="1:83" ht="13.8" customHeight="1" x14ac:dyDescent="0.25">
      <c r="A105" s="16" t="s">
        <v>103</v>
      </c>
      <c r="B105" s="16" t="s">
        <v>110</v>
      </c>
      <c r="C105" s="16" t="s">
        <v>512</v>
      </c>
      <c r="D105" s="17" t="s">
        <v>221</v>
      </c>
      <c r="E105" s="158" t="s">
        <v>400</v>
      </c>
      <c r="F105" s="158" t="s">
        <v>496</v>
      </c>
      <c r="G105" s="19"/>
      <c r="H105" s="20">
        <v>1</v>
      </c>
      <c r="I105" s="21">
        <v>7</v>
      </c>
      <c r="J105" s="21">
        <v>0</v>
      </c>
      <c r="K105" s="21">
        <v>0</v>
      </c>
      <c r="L105" s="21">
        <v>0</v>
      </c>
      <c r="M105" s="21">
        <v>0</v>
      </c>
      <c r="N105" s="21">
        <v>0</v>
      </c>
      <c r="O105" s="21">
        <v>0</v>
      </c>
      <c r="P105" s="21">
        <v>0</v>
      </c>
      <c r="Q105" s="21">
        <v>0</v>
      </c>
      <c r="R105" s="21">
        <v>0</v>
      </c>
      <c r="S105" s="21">
        <v>0</v>
      </c>
      <c r="T105" s="21">
        <v>0</v>
      </c>
      <c r="U105" s="21">
        <v>0</v>
      </c>
      <c r="V105" s="21">
        <v>0</v>
      </c>
      <c r="W105" s="21">
        <v>0</v>
      </c>
      <c r="X105" s="21">
        <v>0</v>
      </c>
      <c r="Y105" s="21">
        <v>0</v>
      </c>
      <c r="Z105" s="21">
        <v>0</v>
      </c>
      <c r="AA105" s="21">
        <v>0</v>
      </c>
      <c r="AB105" s="21">
        <v>0</v>
      </c>
      <c r="AC105" s="21">
        <v>0</v>
      </c>
      <c r="AD105" s="21">
        <v>0</v>
      </c>
      <c r="AE105" s="21">
        <v>0</v>
      </c>
      <c r="AF105" s="21">
        <v>0</v>
      </c>
      <c r="AG105" s="21">
        <v>0</v>
      </c>
      <c r="AH105" s="21">
        <v>0</v>
      </c>
      <c r="AI105" s="21">
        <v>0</v>
      </c>
      <c r="AJ105" s="21">
        <v>0</v>
      </c>
      <c r="AK105" s="21">
        <v>0</v>
      </c>
      <c r="AL105" s="21">
        <v>0</v>
      </c>
      <c r="AM105" s="21">
        <v>0</v>
      </c>
      <c r="AN105" s="21">
        <v>0</v>
      </c>
      <c r="AO105" s="21">
        <v>0</v>
      </c>
      <c r="AP105" s="21">
        <v>0</v>
      </c>
      <c r="AQ105" s="21">
        <v>0</v>
      </c>
      <c r="AR105" s="21">
        <v>0</v>
      </c>
      <c r="AS105" s="21">
        <v>0</v>
      </c>
      <c r="AT105" s="21">
        <v>0</v>
      </c>
      <c r="AU105" s="21">
        <v>0</v>
      </c>
      <c r="AV105" s="21">
        <v>0</v>
      </c>
      <c r="AW105" s="21">
        <v>0</v>
      </c>
      <c r="AX105" s="21">
        <v>0</v>
      </c>
      <c r="AY105" s="21">
        <v>0</v>
      </c>
      <c r="AZ105" s="22">
        <v>0</v>
      </c>
      <c r="BA105" s="22" t="e">
        <f>MAX(#REF!-AZ105,0)</f>
        <v>#REF!</v>
      </c>
      <c r="BB105" s="23" t="e">
        <f>IF(SUMPRODUCT($J$85:BA$85,$J105:BA105)&lt;0.5, "Pending", IF(BA105&lt;0.5, "Complete", "In Progress"))</f>
        <v>#REF!</v>
      </c>
      <c r="BC105" s="22">
        <v>0</v>
      </c>
      <c r="BD105" s="22" t="e">
        <f t="shared" si="9"/>
        <v>#REF!</v>
      </c>
      <c r="BE105" s="23" t="e">
        <f>IF(SUMPRODUCT($J$85:BD$85,$J105:BD105)&lt;0.5, "Pending", IF(BD105&lt;0.5, "Complete", "In Progress"))</f>
        <v>#REF!</v>
      </c>
      <c r="BF105" s="22">
        <v>0</v>
      </c>
      <c r="BG105" s="22" t="e">
        <f t="shared" si="10"/>
        <v>#REF!</v>
      </c>
      <c r="BH105" s="23" t="e">
        <f>IF(SUMPRODUCT($J$85:BG$85,$J105:BG105)&lt;0.5, "Pending", IF(BG105&lt;0.5, "Complete", "In Progress"))</f>
        <v>#REF!</v>
      </c>
      <c r="BI105" s="22">
        <v>0</v>
      </c>
      <c r="BJ105" s="22" t="e">
        <f t="shared" si="11"/>
        <v>#REF!</v>
      </c>
      <c r="BK105" s="23" t="e">
        <f>IF(SUMPRODUCT($J$85:BJ$85,$J105:BJ105)&lt;0.5, "Pending", IF(BJ105&lt;0.5, "Complete", "In Progress"))</f>
        <v>#REF!</v>
      </c>
      <c r="BL105" s="22">
        <v>0</v>
      </c>
      <c r="BM105" s="22" t="e">
        <f t="shared" si="12"/>
        <v>#REF!</v>
      </c>
      <c r="BN105" s="23" t="e">
        <f>IF(SUMPRODUCT($J$85:BM$85,$J105:BM105)&lt;0.5, "Pending", IF(BM105&lt;0.5, "Complete", "In Progress"))</f>
        <v>#REF!</v>
      </c>
      <c r="BO105" s="22">
        <v>0</v>
      </c>
      <c r="BP105" s="22" t="e">
        <f t="shared" si="13"/>
        <v>#REF!</v>
      </c>
      <c r="BQ105" s="23" t="e">
        <f>IF(SUMPRODUCT($J$85:BP$85,$J105:BP105)&lt;0.5, "Pending", IF(BP105&lt;0.5, "Complete", "In Progress"))</f>
        <v>#REF!</v>
      </c>
      <c r="BR105" s="22">
        <v>0</v>
      </c>
      <c r="BS105" s="22" t="e">
        <f t="shared" si="14"/>
        <v>#REF!</v>
      </c>
      <c r="BT105" s="23" t="e">
        <f>IF(SUMPRODUCT($J$85:BS$85,$J105:BS105)&lt;0.5, "Pending", IF(BS105&lt;0.5, "Complete", "In Progress"))</f>
        <v>#REF!</v>
      </c>
      <c r="BU105" s="22">
        <v>0</v>
      </c>
      <c r="BV105" s="22" t="e">
        <f t="shared" si="15"/>
        <v>#REF!</v>
      </c>
      <c r="BW105" s="23" t="e">
        <f>IF(SUMPRODUCT($J$85:BV$85,$J105:BV105)&lt;0.5, "Pending", IF(BV105&lt;0.5, "Complete", "In Progress"))</f>
        <v>#REF!</v>
      </c>
      <c r="BX105" s="22">
        <v>0</v>
      </c>
      <c r="BY105" s="22" t="e">
        <f t="shared" si="16"/>
        <v>#REF!</v>
      </c>
      <c r="BZ105" s="23" t="e">
        <f>IF(SUMPRODUCT($J$85:BY$85,$J105:BY105)&lt;0.5, "Pending", IF(BY105&lt;0.5, "Complete", "In Progress"))</f>
        <v>#REF!</v>
      </c>
      <c r="CA105" s="22">
        <v>0</v>
      </c>
      <c r="CB105" s="22" t="e">
        <f t="shared" si="17"/>
        <v>#REF!</v>
      </c>
      <c r="CC105" s="23" t="e">
        <f>IF(SUMPRODUCT($J$85:CB$85,$J105:CB105)&lt;0.5, "Pending", IF(CB105&lt;0.5, "Complete", "In Progress"))</f>
        <v>#REF!</v>
      </c>
      <c r="CD105" s="24"/>
      <c r="CE105" s="25">
        <f>SUMPRODUCT($H$85:AY$85,$H105:AY105)</f>
        <v>50</v>
      </c>
    </row>
    <row r="106" spans="1:83" ht="13.8" customHeight="1" x14ac:dyDescent="0.25">
      <c r="A106" s="16" t="s">
        <v>104</v>
      </c>
      <c r="B106" s="16" t="s">
        <v>121</v>
      </c>
      <c r="C106" s="16" t="s">
        <v>512</v>
      </c>
      <c r="D106" s="17" t="s">
        <v>222</v>
      </c>
      <c r="E106" s="158" t="s">
        <v>401</v>
      </c>
      <c r="F106" s="158" t="s">
        <v>495</v>
      </c>
      <c r="G106" s="169"/>
      <c r="H106" s="20">
        <v>1</v>
      </c>
      <c r="I106" s="21">
        <v>7</v>
      </c>
      <c r="J106" s="21">
        <v>0</v>
      </c>
      <c r="K106" s="21">
        <v>0</v>
      </c>
      <c r="L106" s="21">
        <v>0</v>
      </c>
      <c r="M106" s="21">
        <v>0</v>
      </c>
      <c r="N106" s="21">
        <v>0</v>
      </c>
      <c r="O106" s="21">
        <v>0</v>
      </c>
      <c r="P106" s="21">
        <v>0</v>
      </c>
      <c r="Q106" s="21">
        <v>0</v>
      </c>
      <c r="R106" s="21">
        <v>0</v>
      </c>
      <c r="S106" s="21">
        <v>0</v>
      </c>
      <c r="T106" s="21">
        <v>0</v>
      </c>
      <c r="U106" s="21">
        <v>0</v>
      </c>
      <c r="V106" s="21">
        <v>0</v>
      </c>
      <c r="W106" s="21">
        <v>0</v>
      </c>
      <c r="X106" s="21">
        <v>0</v>
      </c>
      <c r="Y106" s="21">
        <v>0</v>
      </c>
      <c r="Z106" s="21">
        <v>0</v>
      </c>
      <c r="AA106" s="21">
        <v>0</v>
      </c>
      <c r="AB106" s="21">
        <v>0</v>
      </c>
      <c r="AC106" s="21">
        <v>0</v>
      </c>
      <c r="AD106" s="21">
        <v>0</v>
      </c>
      <c r="AE106" s="21">
        <v>0</v>
      </c>
      <c r="AF106" s="21">
        <v>0</v>
      </c>
      <c r="AG106" s="21">
        <v>0</v>
      </c>
      <c r="AH106" s="21">
        <v>0</v>
      </c>
      <c r="AI106" s="21">
        <v>0</v>
      </c>
      <c r="AJ106" s="21">
        <v>0</v>
      </c>
      <c r="AK106" s="21">
        <v>0</v>
      </c>
      <c r="AL106" s="21">
        <v>0</v>
      </c>
      <c r="AM106" s="21">
        <v>0</v>
      </c>
      <c r="AN106" s="21">
        <v>0</v>
      </c>
      <c r="AO106" s="21">
        <v>0</v>
      </c>
      <c r="AP106" s="21">
        <v>0</v>
      </c>
      <c r="AQ106" s="21">
        <v>0</v>
      </c>
      <c r="AR106" s="21">
        <v>0</v>
      </c>
      <c r="AS106" s="21">
        <v>0</v>
      </c>
      <c r="AT106" s="21">
        <v>0</v>
      </c>
      <c r="AU106" s="21">
        <v>0</v>
      </c>
      <c r="AV106" s="21">
        <v>0</v>
      </c>
      <c r="AW106" s="21">
        <v>0</v>
      </c>
      <c r="AX106" s="21">
        <v>0</v>
      </c>
      <c r="AY106" s="21">
        <v>0</v>
      </c>
      <c r="AZ106" s="22">
        <v>0</v>
      </c>
      <c r="BA106" s="22" t="e">
        <f>MAX(#REF!-AZ106,0)</f>
        <v>#REF!</v>
      </c>
      <c r="BB106" s="23" t="e">
        <f>IF(SUMPRODUCT($J$85:BA$85,$J106:BA106)&lt;0.5, "Pending", IF(BA106&lt;0.5, "Complete", "In Progress"))</f>
        <v>#REF!</v>
      </c>
      <c r="BC106" s="22">
        <v>0</v>
      </c>
      <c r="BD106" s="22" t="e">
        <f t="shared" si="9"/>
        <v>#REF!</v>
      </c>
      <c r="BE106" s="23" t="e">
        <f>IF(SUMPRODUCT($J$85:BD$85,$J106:BD106)&lt;0.5, "Pending", IF(BD106&lt;0.5, "Complete", "In Progress"))</f>
        <v>#REF!</v>
      </c>
      <c r="BF106" s="22">
        <v>0</v>
      </c>
      <c r="BG106" s="22" t="e">
        <f t="shared" si="10"/>
        <v>#REF!</v>
      </c>
      <c r="BH106" s="23" t="e">
        <f>IF(SUMPRODUCT($J$85:BG$85,$J106:BG106)&lt;0.5, "Pending", IF(BG106&lt;0.5, "Complete", "In Progress"))</f>
        <v>#REF!</v>
      </c>
      <c r="BI106" s="22">
        <v>0</v>
      </c>
      <c r="BJ106" s="22" t="e">
        <f t="shared" si="11"/>
        <v>#REF!</v>
      </c>
      <c r="BK106" s="23" t="e">
        <f>IF(SUMPRODUCT($J$85:BJ$85,$J106:BJ106)&lt;0.5, "Pending", IF(BJ106&lt;0.5, "Complete", "In Progress"))</f>
        <v>#REF!</v>
      </c>
      <c r="BL106" s="22">
        <v>0</v>
      </c>
      <c r="BM106" s="22" t="e">
        <f t="shared" si="12"/>
        <v>#REF!</v>
      </c>
      <c r="BN106" s="23" t="e">
        <f>IF(SUMPRODUCT($J$85:BM$85,$J106:BM106)&lt;0.5, "Pending", IF(BM106&lt;0.5, "Complete", "In Progress"))</f>
        <v>#REF!</v>
      </c>
      <c r="BO106" s="22">
        <v>0</v>
      </c>
      <c r="BP106" s="22" t="e">
        <f t="shared" si="13"/>
        <v>#REF!</v>
      </c>
      <c r="BQ106" s="23" t="e">
        <f>IF(SUMPRODUCT($J$85:BP$85,$J106:BP106)&lt;0.5, "Pending", IF(BP106&lt;0.5, "Complete", "In Progress"))</f>
        <v>#REF!</v>
      </c>
      <c r="BR106" s="22">
        <v>0</v>
      </c>
      <c r="BS106" s="22" t="e">
        <f t="shared" si="14"/>
        <v>#REF!</v>
      </c>
      <c r="BT106" s="23" t="e">
        <f>IF(SUMPRODUCT($J$85:BS$85,$J106:BS106)&lt;0.5, "Pending", IF(BS106&lt;0.5, "Complete", "In Progress"))</f>
        <v>#REF!</v>
      </c>
      <c r="BU106" s="22">
        <v>0</v>
      </c>
      <c r="BV106" s="22" t="e">
        <f t="shared" si="15"/>
        <v>#REF!</v>
      </c>
      <c r="BW106" s="23" t="e">
        <f>IF(SUMPRODUCT($J$85:BV$85,$J106:BV106)&lt;0.5, "Pending", IF(BV106&lt;0.5, "Complete", "In Progress"))</f>
        <v>#REF!</v>
      </c>
      <c r="BX106" s="22">
        <v>0</v>
      </c>
      <c r="BY106" s="22" t="e">
        <f t="shared" si="16"/>
        <v>#REF!</v>
      </c>
      <c r="BZ106" s="23" t="e">
        <f>IF(SUMPRODUCT($J$85:BY$85,$J106:BY106)&lt;0.5, "Pending", IF(BY106&lt;0.5, "Complete", "In Progress"))</f>
        <v>#REF!</v>
      </c>
      <c r="CA106" s="22">
        <v>0</v>
      </c>
      <c r="CB106" s="22" t="e">
        <f t="shared" si="17"/>
        <v>#REF!</v>
      </c>
      <c r="CC106" s="23" t="e">
        <f>IF(SUMPRODUCT($J$85:CB$85,$J106:CB106)&lt;0.5, "Pending", IF(CB106&lt;0.5, "Complete", "In Progress"))</f>
        <v>#REF!</v>
      </c>
      <c r="CD106" s="24"/>
      <c r="CE106" s="25">
        <f>SUMPRODUCT($H$85:AY$85,$H106:AY106)</f>
        <v>50</v>
      </c>
    </row>
    <row r="107" spans="1:83" ht="13.8" customHeight="1" x14ac:dyDescent="0.25">
      <c r="A107" s="16" t="s">
        <v>104</v>
      </c>
      <c r="B107" s="16" t="s">
        <v>112</v>
      </c>
      <c r="C107" s="16" t="s">
        <v>512</v>
      </c>
      <c r="D107" s="17" t="s">
        <v>223</v>
      </c>
      <c r="E107" s="158" t="s">
        <v>402</v>
      </c>
      <c r="F107" s="158" t="s">
        <v>493</v>
      </c>
      <c r="G107" s="168"/>
      <c r="H107" s="20">
        <v>1</v>
      </c>
      <c r="I107" s="21">
        <v>56</v>
      </c>
      <c r="J107" s="21">
        <v>0</v>
      </c>
      <c r="K107" s="21">
        <v>0</v>
      </c>
      <c r="L107" s="21">
        <v>0</v>
      </c>
      <c r="M107" s="21">
        <v>0</v>
      </c>
      <c r="N107" s="21">
        <v>0</v>
      </c>
      <c r="O107" s="21">
        <v>0</v>
      </c>
      <c r="P107" s="21">
        <v>0</v>
      </c>
      <c r="Q107" s="21">
        <v>0</v>
      </c>
      <c r="R107" s="21">
        <v>0</v>
      </c>
      <c r="S107" s="21">
        <v>0</v>
      </c>
      <c r="T107" s="21">
        <v>0</v>
      </c>
      <c r="U107" s="21">
        <v>0</v>
      </c>
      <c r="V107" s="21">
        <v>0</v>
      </c>
      <c r="W107" s="21">
        <v>0</v>
      </c>
      <c r="X107" s="21">
        <v>0</v>
      </c>
      <c r="Y107" s="21">
        <v>0</v>
      </c>
      <c r="Z107" s="21">
        <v>0</v>
      </c>
      <c r="AA107" s="21">
        <v>0</v>
      </c>
      <c r="AB107" s="21">
        <v>0</v>
      </c>
      <c r="AC107" s="21">
        <v>0</v>
      </c>
      <c r="AD107" s="21">
        <v>0</v>
      </c>
      <c r="AE107" s="21">
        <v>0</v>
      </c>
      <c r="AF107" s="21">
        <v>0</v>
      </c>
      <c r="AG107" s="21">
        <v>0</v>
      </c>
      <c r="AH107" s="21">
        <v>0</v>
      </c>
      <c r="AI107" s="21">
        <v>0</v>
      </c>
      <c r="AJ107" s="21">
        <v>0</v>
      </c>
      <c r="AK107" s="21">
        <v>0</v>
      </c>
      <c r="AL107" s="21">
        <v>0</v>
      </c>
      <c r="AM107" s="21">
        <v>0</v>
      </c>
      <c r="AN107" s="21">
        <v>0</v>
      </c>
      <c r="AO107" s="21">
        <v>0</v>
      </c>
      <c r="AP107" s="21">
        <v>0</v>
      </c>
      <c r="AQ107" s="21">
        <v>0</v>
      </c>
      <c r="AR107" s="21">
        <v>0</v>
      </c>
      <c r="AS107" s="21">
        <v>0</v>
      </c>
      <c r="AT107" s="21">
        <v>0</v>
      </c>
      <c r="AU107" s="21">
        <v>0</v>
      </c>
      <c r="AV107" s="21">
        <v>0</v>
      </c>
      <c r="AW107" s="21">
        <v>0</v>
      </c>
      <c r="AX107" s="21">
        <v>0</v>
      </c>
      <c r="AY107" s="21">
        <v>0</v>
      </c>
      <c r="AZ107" s="22">
        <v>0</v>
      </c>
      <c r="BA107" s="22" t="e">
        <f>MAX(#REF!-AZ107,0)</f>
        <v>#REF!</v>
      </c>
      <c r="BB107" s="23" t="e">
        <f>IF(SUMPRODUCT($J$85:BA$85,$J107:BA107)&lt;0.5, "Pending", IF(BA107&lt;0.5, "Complete", "In Progress"))</f>
        <v>#REF!</v>
      </c>
      <c r="BC107" s="22">
        <v>0</v>
      </c>
      <c r="BD107" s="22" t="e">
        <f t="shared" si="9"/>
        <v>#REF!</v>
      </c>
      <c r="BE107" s="23" t="e">
        <f>IF(SUMPRODUCT($J$85:BD$85,$J107:BD107)&lt;0.5, "Pending", IF(BD107&lt;0.5, "Complete", "In Progress"))</f>
        <v>#REF!</v>
      </c>
      <c r="BF107" s="22">
        <v>0</v>
      </c>
      <c r="BG107" s="22" t="e">
        <f t="shared" si="10"/>
        <v>#REF!</v>
      </c>
      <c r="BH107" s="23" t="e">
        <f>IF(SUMPRODUCT($J$85:BG$85,$J107:BG107)&lt;0.5, "Pending", IF(BG107&lt;0.5, "Complete", "In Progress"))</f>
        <v>#REF!</v>
      </c>
      <c r="BI107" s="22">
        <v>0</v>
      </c>
      <c r="BJ107" s="22" t="e">
        <f t="shared" si="11"/>
        <v>#REF!</v>
      </c>
      <c r="BK107" s="23" t="e">
        <f>IF(SUMPRODUCT($J$85:BJ$85,$J107:BJ107)&lt;0.5, "Pending", IF(BJ107&lt;0.5, "Complete", "In Progress"))</f>
        <v>#REF!</v>
      </c>
      <c r="BL107" s="22">
        <v>0</v>
      </c>
      <c r="BM107" s="22" t="e">
        <f t="shared" si="12"/>
        <v>#REF!</v>
      </c>
      <c r="BN107" s="23" t="e">
        <f>IF(SUMPRODUCT($J$85:BM$85,$J107:BM107)&lt;0.5, "Pending", IF(BM107&lt;0.5, "Complete", "In Progress"))</f>
        <v>#REF!</v>
      </c>
      <c r="BO107" s="22">
        <v>0</v>
      </c>
      <c r="BP107" s="22" t="e">
        <f t="shared" si="13"/>
        <v>#REF!</v>
      </c>
      <c r="BQ107" s="23" t="e">
        <f>IF(SUMPRODUCT($J$85:BP$85,$J107:BP107)&lt;0.5, "Pending", IF(BP107&lt;0.5, "Complete", "In Progress"))</f>
        <v>#REF!</v>
      </c>
      <c r="BR107" s="22">
        <v>0</v>
      </c>
      <c r="BS107" s="22" t="e">
        <f t="shared" si="14"/>
        <v>#REF!</v>
      </c>
      <c r="BT107" s="23" t="e">
        <f>IF(SUMPRODUCT($J$85:BS$85,$J107:BS107)&lt;0.5, "Pending", IF(BS107&lt;0.5, "Complete", "In Progress"))</f>
        <v>#REF!</v>
      </c>
      <c r="BU107" s="22">
        <v>0</v>
      </c>
      <c r="BV107" s="22" t="e">
        <f t="shared" si="15"/>
        <v>#REF!</v>
      </c>
      <c r="BW107" s="23" t="e">
        <f>IF(SUMPRODUCT($J$85:BV$85,$J107:BV107)&lt;0.5, "Pending", IF(BV107&lt;0.5, "Complete", "In Progress"))</f>
        <v>#REF!</v>
      </c>
      <c r="BX107" s="22">
        <v>0</v>
      </c>
      <c r="BY107" s="22" t="e">
        <f t="shared" si="16"/>
        <v>#REF!</v>
      </c>
      <c r="BZ107" s="23" t="e">
        <f>IF(SUMPRODUCT($J$85:BY$85,$J107:BY107)&lt;0.5, "Pending", IF(BY107&lt;0.5, "Complete", "In Progress"))</f>
        <v>#REF!</v>
      </c>
      <c r="CA107" s="22">
        <v>0</v>
      </c>
      <c r="CB107" s="22" t="e">
        <f t="shared" si="17"/>
        <v>#REF!</v>
      </c>
      <c r="CC107" s="23" t="e">
        <f>IF(SUMPRODUCT($J$85:CB$85,$J107:CB107)&lt;0.5, "Pending", IF(CB107&lt;0.5, "Complete", "In Progress"))</f>
        <v>#REF!</v>
      </c>
      <c r="CD107" s="24"/>
      <c r="CE107" s="25">
        <f>SUMPRODUCT($H$85:AY$85,$H107:AY107)</f>
        <v>393</v>
      </c>
    </row>
    <row r="108" spans="1:83" ht="13.8" customHeight="1" x14ac:dyDescent="0.25">
      <c r="A108" s="16" t="s">
        <v>104</v>
      </c>
      <c r="B108" s="16" t="s">
        <v>121</v>
      </c>
      <c r="C108" s="16" t="s">
        <v>512</v>
      </c>
      <c r="D108" s="17" t="s">
        <v>224</v>
      </c>
      <c r="E108" s="158" t="s">
        <v>403</v>
      </c>
      <c r="F108" s="158" t="s">
        <v>494</v>
      </c>
      <c r="G108" s="19"/>
      <c r="H108" s="20">
        <v>1</v>
      </c>
      <c r="I108" s="21">
        <v>7</v>
      </c>
      <c r="J108" s="21">
        <v>0</v>
      </c>
      <c r="K108" s="21">
        <v>0</v>
      </c>
      <c r="L108" s="21">
        <v>0</v>
      </c>
      <c r="M108" s="21">
        <v>0</v>
      </c>
      <c r="N108" s="21">
        <v>0</v>
      </c>
      <c r="O108" s="21">
        <v>0</v>
      </c>
      <c r="P108" s="21">
        <v>0</v>
      </c>
      <c r="Q108" s="21">
        <v>0</v>
      </c>
      <c r="R108" s="21">
        <v>0</v>
      </c>
      <c r="S108" s="21">
        <v>0</v>
      </c>
      <c r="T108" s="21">
        <v>0</v>
      </c>
      <c r="U108" s="21">
        <v>0</v>
      </c>
      <c r="V108" s="21">
        <v>0</v>
      </c>
      <c r="W108" s="21">
        <v>0</v>
      </c>
      <c r="X108" s="21">
        <v>0</v>
      </c>
      <c r="Y108" s="21">
        <v>0</v>
      </c>
      <c r="Z108" s="21">
        <v>0</v>
      </c>
      <c r="AA108" s="21">
        <v>0</v>
      </c>
      <c r="AB108" s="21">
        <v>0</v>
      </c>
      <c r="AC108" s="21">
        <v>0</v>
      </c>
      <c r="AD108" s="21">
        <v>0</v>
      </c>
      <c r="AE108" s="21">
        <v>0</v>
      </c>
      <c r="AF108" s="21">
        <v>0</v>
      </c>
      <c r="AG108" s="21">
        <v>0</v>
      </c>
      <c r="AH108" s="21">
        <v>0</v>
      </c>
      <c r="AI108" s="21">
        <v>0</v>
      </c>
      <c r="AJ108" s="21">
        <v>0</v>
      </c>
      <c r="AK108" s="21">
        <v>0</v>
      </c>
      <c r="AL108" s="21">
        <v>0</v>
      </c>
      <c r="AM108" s="21">
        <v>0</v>
      </c>
      <c r="AN108" s="21">
        <v>0</v>
      </c>
      <c r="AO108" s="21">
        <v>0</v>
      </c>
      <c r="AP108" s="21">
        <v>0</v>
      </c>
      <c r="AQ108" s="21">
        <v>0</v>
      </c>
      <c r="AR108" s="21">
        <v>0</v>
      </c>
      <c r="AS108" s="21">
        <v>0</v>
      </c>
      <c r="AT108" s="21">
        <v>0</v>
      </c>
      <c r="AU108" s="21">
        <v>0</v>
      </c>
      <c r="AV108" s="21">
        <v>0</v>
      </c>
      <c r="AW108" s="21">
        <v>0</v>
      </c>
      <c r="AX108" s="21">
        <v>0</v>
      </c>
      <c r="AY108" s="21">
        <v>0</v>
      </c>
      <c r="AZ108" s="22">
        <v>0</v>
      </c>
      <c r="BA108" s="22" t="e">
        <f>MAX(#REF!-AZ108,0)</f>
        <v>#REF!</v>
      </c>
      <c r="BB108" s="23" t="e">
        <f>IF(SUMPRODUCT($J$85:BA$85,$J108:BA108)&lt;0.5, "Pending", IF(BA108&lt;0.5, "Complete", "In Progress"))</f>
        <v>#REF!</v>
      </c>
      <c r="BC108" s="22">
        <v>0</v>
      </c>
      <c r="BD108" s="22" t="e">
        <f t="shared" si="9"/>
        <v>#REF!</v>
      </c>
      <c r="BE108" s="23" t="e">
        <f>IF(SUMPRODUCT($J$85:BD$85,$J108:BD108)&lt;0.5, "Pending", IF(BD108&lt;0.5, "Complete", "In Progress"))</f>
        <v>#REF!</v>
      </c>
      <c r="BF108" s="22">
        <v>0</v>
      </c>
      <c r="BG108" s="22" t="e">
        <f t="shared" si="10"/>
        <v>#REF!</v>
      </c>
      <c r="BH108" s="23" t="e">
        <f>IF(SUMPRODUCT($J$85:BG$85,$J108:BG108)&lt;0.5, "Pending", IF(BG108&lt;0.5, "Complete", "In Progress"))</f>
        <v>#REF!</v>
      </c>
      <c r="BI108" s="22">
        <v>0</v>
      </c>
      <c r="BJ108" s="22" t="e">
        <f t="shared" si="11"/>
        <v>#REF!</v>
      </c>
      <c r="BK108" s="23" t="e">
        <f>IF(SUMPRODUCT($J$85:BJ$85,$J108:BJ108)&lt;0.5, "Pending", IF(BJ108&lt;0.5, "Complete", "In Progress"))</f>
        <v>#REF!</v>
      </c>
      <c r="BL108" s="22">
        <v>0</v>
      </c>
      <c r="BM108" s="22" t="e">
        <f t="shared" si="12"/>
        <v>#REF!</v>
      </c>
      <c r="BN108" s="23" t="e">
        <f>IF(SUMPRODUCT($J$85:BM$85,$J108:BM108)&lt;0.5, "Pending", IF(BM108&lt;0.5, "Complete", "In Progress"))</f>
        <v>#REF!</v>
      </c>
      <c r="BO108" s="22">
        <v>0</v>
      </c>
      <c r="BP108" s="22" t="e">
        <f t="shared" si="13"/>
        <v>#REF!</v>
      </c>
      <c r="BQ108" s="23" t="e">
        <f>IF(SUMPRODUCT($J$85:BP$85,$J108:BP108)&lt;0.5, "Pending", IF(BP108&lt;0.5, "Complete", "In Progress"))</f>
        <v>#REF!</v>
      </c>
      <c r="BR108" s="22">
        <v>0</v>
      </c>
      <c r="BS108" s="22" t="e">
        <f t="shared" si="14"/>
        <v>#REF!</v>
      </c>
      <c r="BT108" s="23" t="e">
        <f>IF(SUMPRODUCT($J$85:BS$85,$J108:BS108)&lt;0.5, "Pending", IF(BS108&lt;0.5, "Complete", "In Progress"))</f>
        <v>#REF!</v>
      </c>
      <c r="BU108" s="22">
        <v>0</v>
      </c>
      <c r="BV108" s="22" t="e">
        <f t="shared" si="15"/>
        <v>#REF!</v>
      </c>
      <c r="BW108" s="23" t="e">
        <f>IF(SUMPRODUCT($J$85:BV$85,$J108:BV108)&lt;0.5, "Pending", IF(BV108&lt;0.5, "Complete", "In Progress"))</f>
        <v>#REF!</v>
      </c>
      <c r="BX108" s="22">
        <v>0</v>
      </c>
      <c r="BY108" s="22" t="e">
        <f t="shared" si="16"/>
        <v>#REF!</v>
      </c>
      <c r="BZ108" s="23" t="e">
        <f>IF(SUMPRODUCT($J$85:BY$85,$J108:BY108)&lt;0.5, "Pending", IF(BY108&lt;0.5, "Complete", "In Progress"))</f>
        <v>#REF!</v>
      </c>
      <c r="CA108" s="22">
        <v>0</v>
      </c>
      <c r="CB108" s="22" t="e">
        <f t="shared" si="17"/>
        <v>#REF!</v>
      </c>
      <c r="CC108" s="23" t="e">
        <f>IF(SUMPRODUCT($J$85:CB$85,$J108:CB108)&lt;0.5, "Pending", IF(CB108&lt;0.5, "Complete", "In Progress"))</f>
        <v>#REF!</v>
      </c>
      <c r="CD108" s="24"/>
      <c r="CE108" s="25">
        <f>SUMPRODUCT($H$85:AY$85,$H108:AY108)</f>
        <v>50</v>
      </c>
    </row>
    <row r="109" spans="1:83" ht="13.8" customHeight="1" x14ac:dyDescent="0.25">
      <c r="A109" s="16" t="s">
        <v>104</v>
      </c>
      <c r="B109" s="16" t="s">
        <v>112</v>
      </c>
      <c r="C109" s="16" t="s">
        <v>512</v>
      </c>
      <c r="D109" s="17" t="s">
        <v>215</v>
      </c>
      <c r="E109" s="158" t="s">
        <v>404</v>
      </c>
      <c r="F109" s="158" t="s">
        <v>497</v>
      </c>
      <c r="G109" s="19"/>
      <c r="H109" s="20">
        <v>1</v>
      </c>
      <c r="I109" s="21">
        <v>7</v>
      </c>
      <c r="J109" s="21">
        <v>0</v>
      </c>
      <c r="K109" s="21">
        <v>0</v>
      </c>
      <c r="L109" s="21">
        <v>0</v>
      </c>
      <c r="M109" s="21">
        <v>0</v>
      </c>
      <c r="N109" s="21">
        <v>0</v>
      </c>
      <c r="O109" s="21">
        <v>0</v>
      </c>
      <c r="P109" s="21">
        <v>0</v>
      </c>
      <c r="Q109" s="21">
        <v>0</v>
      </c>
      <c r="R109" s="21">
        <v>0</v>
      </c>
      <c r="S109" s="21">
        <v>0</v>
      </c>
      <c r="T109" s="21">
        <v>0</v>
      </c>
      <c r="U109" s="21">
        <v>0</v>
      </c>
      <c r="V109" s="21">
        <v>0</v>
      </c>
      <c r="W109" s="21">
        <v>0</v>
      </c>
      <c r="X109" s="21">
        <v>0</v>
      </c>
      <c r="Y109" s="21">
        <v>0</v>
      </c>
      <c r="Z109" s="21">
        <v>0</v>
      </c>
      <c r="AA109" s="21">
        <v>0</v>
      </c>
      <c r="AB109" s="21">
        <v>0</v>
      </c>
      <c r="AC109" s="21">
        <v>0</v>
      </c>
      <c r="AD109" s="21">
        <v>0</v>
      </c>
      <c r="AE109" s="21">
        <v>0</v>
      </c>
      <c r="AF109" s="21">
        <v>0</v>
      </c>
      <c r="AG109" s="21">
        <v>0</v>
      </c>
      <c r="AH109" s="21">
        <v>0</v>
      </c>
      <c r="AI109" s="21">
        <v>0</v>
      </c>
      <c r="AJ109" s="21">
        <v>0</v>
      </c>
      <c r="AK109" s="21">
        <v>0</v>
      </c>
      <c r="AL109" s="21">
        <v>0</v>
      </c>
      <c r="AM109" s="21">
        <v>0</v>
      </c>
      <c r="AN109" s="21">
        <v>0</v>
      </c>
      <c r="AO109" s="21">
        <v>0</v>
      </c>
      <c r="AP109" s="21">
        <v>0</v>
      </c>
      <c r="AQ109" s="21">
        <v>0</v>
      </c>
      <c r="AR109" s="21">
        <v>0</v>
      </c>
      <c r="AS109" s="21">
        <v>0</v>
      </c>
      <c r="AT109" s="21">
        <v>0</v>
      </c>
      <c r="AU109" s="21">
        <v>0</v>
      </c>
      <c r="AV109" s="21">
        <v>0</v>
      </c>
      <c r="AW109" s="21">
        <v>0</v>
      </c>
      <c r="AX109" s="21">
        <v>0</v>
      </c>
      <c r="AY109" s="21">
        <v>0</v>
      </c>
      <c r="AZ109" s="22">
        <v>0</v>
      </c>
      <c r="BA109" s="22" t="e">
        <f>MAX(#REF!-AZ109,0)</f>
        <v>#REF!</v>
      </c>
      <c r="BB109" s="23" t="e">
        <f>IF(SUMPRODUCT($J$85:BA$85,$J109:BA109)&lt;0.5, "Pending", IF(BA109&lt;0.5, "Complete", "In Progress"))</f>
        <v>#REF!</v>
      </c>
      <c r="BC109" s="22">
        <v>0</v>
      </c>
      <c r="BD109" s="22" t="e">
        <f t="shared" si="9"/>
        <v>#REF!</v>
      </c>
      <c r="BE109" s="23" t="e">
        <f>IF(SUMPRODUCT($J$85:BD$85,$J109:BD109)&lt;0.5, "Pending", IF(BD109&lt;0.5, "Complete", "In Progress"))</f>
        <v>#REF!</v>
      </c>
      <c r="BF109" s="22">
        <v>0</v>
      </c>
      <c r="BG109" s="22" t="e">
        <f t="shared" si="10"/>
        <v>#REF!</v>
      </c>
      <c r="BH109" s="23" t="e">
        <f>IF(SUMPRODUCT($J$85:BG$85,$J109:BG109)&lt;0.5, "Pending", IF(BG109&lt;0.5, "Complete", "In Progress"))</f>
        <v>#REF!</v>
      </c>
      <c r="BI109" s="22">
        <v>0</v>
      </c>
      <c r="BJ109" s="22" t="e">
        <f t="shared" si="11"/>
        <v>#REF!</v>
      </c>
      <c r="BK109" s="23" t="e">
        <f>IF(SUMPRODUCT($J$85:BJ$85,$J109:BJ109)&lt;0.5, "Pending", IF(BJ109&lt;0.5, "Complete", "In Progress"))</f>
        <v>#REF!</v>
      </c>
      <c r="BL109" s="22">
        <v>0</v>
      </c>
      <c r="BM109" s="22" t="e">
        <f t="shared" si="12"/>
        <v>#REF!</v>
      </c>
      <c r="BN109" s="23" t="e">
        <f>IF(SUMPRODUCT($J$85:BM$85,$J109:BM109)&lt;0.5, "Pending", IF(BM109&lt;0.5, "Complete", "In Progress"))</f>
        <v>#REF!</v>
      </c>
      <c r="BO109" s="22">
        <v>0</v>
      </c>
      <c r="BP109" s="22" t="e">
        <f t="shared" si="13"/>
        <v>#REF!</v>
      </c>
      <c r="BQ109" s="23" t="e">
        <f>IF(SUMPRODUCT($J$85:BP$85,$J109:BP109)&lt;0.5, "Pending", IF(BP109&lt;0.5, "Complete", "In Progress"))</f>
        <v>#REF!</v>
      </c>
      <c r="BR109" s="22">
        <v>0</v>
      </c>
      <c r="BS109" s="22" t="e">
        <f t="shared" si="14"/>
        <v>#REF!</v>
      </c>
      <c r="BT109" s="23" t="e">
        <f>IF(SUMPRODUCT($J$85:BS$85,$J109:BS109)&lt;0.5, "Pending", IF(BS109&lt;0.5, "Complete", "In Progress"))</f>
        <v>#REF!</v>
      </c>
      <c r="BU109" s="22">
        <v>0</v>
      </c>
      <c r="BV109" s="22" t="e">
        <f t="shared" si="15"/>
        <v>#REF!</v>
      </c>
      <c r="BW109" s="23" t="e">
        <f>IF(SUMPRODUCT($J$85:BV$85,$J109:BV109)&lt;0.5, "Pending", IF(BV109&lt;0.5, "Complete", "In Progress"))</f>
        <v>#REF!</v>
      </c>
      <c r="BX109" s="22">
        <v>0</v>
      </c>
      <c r="BY109" s="22" t="e">
        <f t="shared" si="16"/>
        <v>#REF!</v>
      </c>
      <c r="BZ109" s="23" t="e">
        <f>IF(SUMPRODUCT($J$85:BY$85,$J109:BY109)&lt;0.5, "Pending", IF(BY109&lt;0.5, "Complete", "In Progress"))</f>
        <v>#REF!</v>
      </c>
      <c r="CA109" s="22">
        <v>0</v>
      </c>
      <c r="CB109" s="22" t="e">
        <f t="shared" si="17"/>
        <v>#REF!</v>
      </c>
      <c r="CC109" s="23" t="e">
        <f>IF(SUMPRODUCT($J$85:CB$85,$J109:CB109)&lt;0.5, "Pending", IF(CB109&lt;0.5, "Complete", "In Progress"))</f>
        <v>#REF!</v>
      </c>
      <c r="CD109" s="24"/>
      <c r="CE109" s="25">
        <f>SUMPRODUCT($H$85:AY$85,$H109:AY109)</f>
        <v>50</v>
      </c>
    </row>
    <row r="110" spans="1:83" ht="13.8" customHeight="1" x14ac:dyDescent="0.25">
      <c r="A110" s="16" t="s">
        <v>104</v>
      </c>
      <c r="B110" s="16" t="s">
        <v>118</v>
      </c>
      <c r="C110" s="16" t="s">
        <v>512</v>
      </c>
      <c r="D110" s="17" t="s">
        <v>225</v>
      </c>
      <c r="E110" s="158" t="s">
        <v>405</v>
      </c>
      <c r="F110" s="158" t="s">
        <v>498</v>
      </c>
      <c r="G110" s="19"/>
      <c r="H110" s="20">
        <v>1</v>
      </c>
      <c r="I110" s="21">
        <v>7</v>
      </c>
      <c r="J110" s="21">
        <v>0</v>
      </c>
      <c r="K110" s="21">
        <v>0</v>
      </c>
      <c r="L110" s="21">
        <v>0</v>
      </c>
      <c r="M110" s="21">
        <v>0</v>
      </c>
      <c r="N110" s="21">
        <v>0</v>
      </c>
      <c r="O110" s="21">
        <v>0</v>
      </c>
      <c r="P110" s="21">
        <v>0</v>
      </c>
      <c r="Q110" s="21">
        <v>0</v>
      </c>
      <c r="R110" s="21">
        <v>0</v>
      </c>
      <c r="S110" s="21">
        <v>0</v>
      </c>
      <c r="T110" s="21">
        <v>0</v>
      </c>
      <c r="U110" s="21">
        <v>0</v>
      </c>
      <c r="V110" s="21">
        <v>0</v>
      </c>
      <c r="W110" s="21">
        <v>0</v>
      </c>
      <c r="X110" s="21">
        <v>0</v>
      </c>
      <c r="Y110" s="21">
        <v>0</v>
      </c>
      <c r="Z110" s="21">
        <v>0</v>
      </c>
      <c r="AA110" s="21">
        <v>0</v>
      </c>
      <c r="AB110" s="21">
        <v>0</v>
      </c>
      <c r="AC110" s="21">
        <v>0</v>
      </c>
      <c r="AD110" s="21">
        <v>0</v>
      </c>
      <c r="AE110" s="21">
        <v>0</v>
      </c>
      <c r="AF110" s="21">
        <v>0</v>
      </c>
      <c r="AG110" s="21">
        <v>0</v>
      </c>
      <c r="AH110" s="21">
        <v>0</v>
      </c>
      <c r="AI110" s="21">
        <v>0</v>
      </c>
      <c r="AJ110" s="21">
        <v>0</v>
      </c>
      <c r="AK110" s="21">
        <v>0</v>
      </c>
      <c r="AL110" s="21">
        <v>0</v>
      </c>
      <c r="AM110" s="21">
        <v>0</v>
      </c>
      <c r="AN110" s="21">
        <v>0</v>
      </c>
      <c r="AO110" s="21">
        <v>0</v>
      </c>
      <c r="AP110" s="21">
        <v>0</v>
      </c>
      <c r="AQ110" s="21">
        <v>0</v>
      </c>
      <c r="AR110" s="21">
        <v>0</v>
      </c>
      <c r="AS110" s="21">
        <v>0</v>
      </c>
      <c r="AT110" s="21">
        <v>0</v>
      </c>
      <c r="AU110" s="21">
        <v>0</v>
      </c>
      <c r="AV110" s="21">
        <v>0</v>
      </c>
      <c r="AW110" s="21">
        <v>0</v>
      </c>
      <c r="AX110" s="21">
        <v>0</v>
      </c>
      <c r="AY110" s="21">
        <v>0</v>
      </c>
      <c r="AZ110" s="22">
        <v>0</v>
      </c>
      <c r="BA110" s="22" t="e">
        <f>MAX(#REF!-AZ110,0)</f>
        <v>#REF!</v>
      </c>
      <c r="BB110" s="23" t="e">
        <f>IF(SUMPRODUCT($J$85:BA$85,$J110:BA110)&lt;0.5, "Pending", IF(BA110&lt;0.5, "Complete", "In Progress"))</f>
        <v>#REF!</v>
      </c>
      <c r="BC110" s="22">
        <v>0</v>
      </c>
      <c r="BD110" s="22" t="e">
        <f t="shared" si="9"/>
        <v>#REF!</v>
      </c>
      <c r="BE110" s="23" t="e">
        <f>IF(SUMPRODUCT($J$85:BD$85,$J110:BD110)&lt;0.5, "Pending", IF(BD110&lt;0.5, "Complete", "In Progress"))</f>
        <v>#REF!</v>
      </c>
      <c r="BF110" s="22">
        <v>0</v>
      </c>
      <c r="BG110" s="22" t="e">
        <f t="shared" si="10"/>
        <v>#REF!</v>
      </c>
      <c r="BH110" s="23" t="e">
        <f>IF(SUMPRODUCT($J$85:BG$85,$J110:BG110)&lt;0.5, "Pending", IF(BG110&lt;0.5, "Complete", "In Progress"))</f>
        <v>#REF!</v>
      </c>
      <c r="BI110" s="22">
        <v>0</v>
      </c>
      <c r="BJ110" s="22" t="e">
        <f t="shared" si="11"/>
        <v>#REF!</v>
      </c>
      <c r="BK110" s="23" t="e">
        <f>IF(SUMPRODUCT($J$85:BJ$85,$J110:BJ110)&lt;0.5, "Pending", IF(BJ110&lt;0.5, "Complete", "In Progress"))</f>
        <v>#REF!</v>
      </c>
      <c r="BL110" s="22">
        <v>0</v>
      </c>
      <c r="BM110" s="22" t="e">
        <f t="shared" si="12"/>
        <v>#REF!</v>
      </c>
      <c r="BN110" s="23" t="e">
        <f>IF(SUMPRODUCT($J$85:BM$85,$J110:BM110)&lt;0.5, "Pending", IF(BM110&lt;0.5, "Complete", "In Progress"))</f>
        <v>#REF!</v>
      </c>
      <c r="BO110" s="22">
        <v>0</v>
      </c>
      <c r="BP110" s="22" t="e">
        <f t="shared" si="13"/>
        <v>#REF!</v>
      </c>
      <c r="BQ110" s="23" t="e">
        <f>IF(SUMPRODUCT($J$85:BP$85,$J110:BP110)&lt;0.5, "Pending", IF(BP110&lt;0.5, "Complete", "In Progress"))</f>
        <v>#REF!</v>
      </c>
      <c r="BR110" s="22">
        <v>0</v>
      </c>
      <c r="BS110" s="22" t="e">
        <f t="shared" si="14"/>
        <v>#REF!</v>
      </c>
      <c r="BT110" s="23" t="e">
        <f>IF(SUMPRODUCT($J$85:BS$85,$J110:BS110)&lt;0.5, "Pending", IF(BS110&lt;0.5, "Complete", "In Progress"))</f>
        <v>#REF!</v>
      </c>
      <c r="BU110" s="22">
        <v>0</v>
      </c>
      <c r="BV110" s="22" t="e">
        <f t="shared" si="15"/>
        <v>#REF!</v>
      </c>
      <c r="BW110" s="23" t="e">
        <f>IF(SUMPRODUCT($J$85:BV$85,$J110:BV110)&lt;0.5, "Pending", IF(BV110&lt;0.5, "Complete", "In Progress"))</f>
        <v>#REF!</v>
      </c>
      <c r="BX110" s="22">
        <v>0</v>
      </c>
      <c r="BY110" s="22" t="e">
        <f t="shared" si="16"/>
        <v>#REF!</v>
      </c>
      <c r="BZ110" s="23" t="e">
        <f>IF(SUMPRODUCT($J$85:BY$85,$J110:BY110)&lt;0.5, "Pending", IF(BY110&lt;0.5, "Complete", "In Progress"))</f>
        <v>#REF!</v>
      </c>
      <c r="CA110" s="22">
        <v>0</v>
      </c>
      <c r="CB110" s="22" t="e">
        <f t="shared" si="17"/>
        <v>#REF!</v>
      </c>
      <c r="CC110" s="23" t="e">
        <f>IF(SUMPRODUCT($J$85:CB$85,$J110:CB110)&lt;0.5, "Pending", IF(CB110&lt;0.5, "Complete", "In Progress"))</f>
        <v>#REF!</v>
      </c>
      <c r="CD110" s="24"/>
      <c r="CE110" s="25">
        <f>SUMPRODUCT($H$85:AY$85,$H110:AY110)</f>
        <v>50</v>
      </c>
    </row>
    <row r="111" spans="1:83" ht="13.8" customHeight="1" x14ac:dyDescent="0.25">
      <c r="A111" s="16" t="s">
        <v>103</v>
      </c>
      <c r="B111" s="16" t="s">
        <v>110</v>
      </c>
      <c r="C111" s="16" t="s">
        <v>513</v>
      </c>
      <c r="D111" s="17">
        <v>7</v>
      </c>
      <c r="E111" s="158" t="s">
        <v>406</v>
      </c>
      <c r="F111" s="158" t="s">
        <v>496</v>
      </c>
      <c r="G111" s="19"/>
      <c r="H111" s="20">
        <v>1</v>
      </c>
      <c r="I111" s="21">
        <v>7</v>
      </c>
      <c r="J111" s="21">
        <v>0</v>
      </c>
      <c r="K111" s="21">
        <v>0</v>
      </c>
      <c r="L111" s="21">
        <v>0</v>
      </c>
      <c r="M111" s="21">
        <v>0</v>
      </c>
      <c r="N111" s="21">
        <v>0</v>
      </c>
      <c r="O111" s="21">
        <v>0</v>
      </c>
      <c r="P111" s="21">
        <v>0</v>
      </c>
      <c r="Q111" s="21">
        <v>0</v>
      </c>
      <c r="R111" s="21">
        <v>0</v>
      </c>
      <c r="S111" s="21">
        <v>0</v>
      </c>
      <c r="T111" s="21">
        <v>0</v>
      </c>
      <c r="U111" s="21">
        <v>0</v>
      </c>
      <c r="V111" s="21">
        <v>0</v>
      </c>
      <c r="W111" s="21">
        <v>0</v>
      </c>
      <c r="X111" s="21">
        <v>0</v>
      </c>
      <c r="Y111" s="21">
        <v>0</v>
      </c>
      <c r="Z111" s="21">
        <v>0</v>
      </c>
      <c r="AA111" s="21">
        <v>0</v>
      </c>
      <c r="AB111" s="21">
        <v>0</v>
      </c>
      <c r="AC111" s="21">
        <v>0</v>
      </c>
      <c r="AD111" s="21">
        <v>0</v>
      </c>
      <c r="AE111" s="21">
        <v>0</v>
      </c>
      <c r="AF111" s="21">
        <v>0</v>
      </c>
      <c r="AG111" s="21">
        <v>0</v>
      </c>
      <c r="AH111" s="21">
        <v>0</v>
      </c>
      <c r="AI111" s="21">
        <v>0</v>
      </c>
      <c r="AJ111" s="21">
        <v>0</v>
      </c>
      <c r="AK111" s="21">
        <v>0</v>
      </c>
      <c r="AL111" s="21">
        <v>0</v>
      </c>
      <c r="AM111" s="21">
        <v>0</v>
      </c>
      <c r="AN111" s="21">
        <v>0</v>
      </c>
      <c r="AO111" s="21">
        <v>0</v>
      </c>
      <c r="AP111" s="21">
        <v>0</v>
      </c>
      <c r="AQ111" s="21">
        <v>0</v>
      </c>
      <c r="AR111" s="21">
        <v>0</v>
      </c>
      <c r="AS111" s="21">
        <v>0</v>
      </c>
      <c r="AT111" s="21">
        <v>0</v>
      </c>
      <c r="AU111" s="21">
        <v>0</v>
      </c>
      <c r="AV111" s="21">
        <v>0</v>
      </c>
      <c r="AW111" s="21">
        <v>0</v>
      </c>
      <c r="AX111" s="21">
        <v>0</v>
      </c>
      <c r="AY111" s="21">
        <v>0</v>
      </c>
      <c r="AZ111" s="22">
        <v>0</v>
      </c>
      <c r="BA111" s="22" t="e">
        <f>MAX(#REF!-AZ111,0)</f>
        <v>#REF!</v>
      </c>
      <c r="BB111" s="23" t="e">
        <f>IF(SUMPRODUCT($J$85:BA$85,$J111:BA111)&lt;0.5, "Pending", IF(BA111&lt;0.5, "Complete", "In Progress"))</f>
        <v>#REF!</v>
      </c>
      <c r="BC111" s="22">
        <v>0</v>
      </c>
      <c r="BD111" s="22" t="e">
        <f t="shared" si="9"/>
        <v>#REF!</v>
      </c>
      <c r="BE111" s="23" t="e">
        <f>IF(SUMPRODUCT($J$85:BD$85,$J111:BD111)&lt;0.5, "Pending", IF(BD111&lt;0.5, "Complete", "In Progress"))</f>
        <v>#REF!</v>
      </c>
      <c r="BF111" s="22">
        <v>0</v>
      </c>
      <c r="BG111" s="22" t="e">
        <f t="shared" si="10"/>
        <v>#REF!</v>
      </c>
      <c r="BH111" s="23" t="e">
        <f>IF(SUMPRODUCT($J$85:BG$85,$J111:BG111)&lt;0.5, "Pending", IF(BG111&lt;0.5, "Complete", "In Progress"))</f>
        <v>#REF!</v>
      </c>
      <c r="BI111" s="22">
        <v>0</v>
      </c>
      <c r="BJ111" s="22" t="e">
        <f t="shared" si="11"/>
        <v>#REF!</v>
      </c>
      <c r="BK111" s="23" t="e">
        <f>IF(SUMPRODUCT($J$85:BJ$85,$J111:BJ111)&lt;0.5, "Pending", IF(BJ111&lt;0.5, "Complete", "In Progress"))</f>
        <v>#REF!</v>
      </c>
      <c r="BL111" s="22">
        <v>0</v>
      </c>
      <c r="BM111" s="22" t="e">
        <f t="shared" si="12"/>
        <v>#REF!</v>
      </c>
      <c r="BN111" s="23" t="e">
        <f>IF(SUMPRODUCT($J$85:BM$85,$J111:BM111)&lt;0.5, "Pending", IF(BM111&lt;0.5, "Complete", "In Progress"))</f>
        <v>#REF!</v>
      </c>
      <c r="BO111" s="22">
        <v>0</v>
      </c>
      <c r="BP111" s="22" t="e">
        <f t="shared" si="13"/>
        <v>#REF!</v>
      </c>
      <c r="BQ111" s="23" t="e">
        <f>IF(SUMPRODUCT($J$85:BP$85,$J111:BP111)&lt;0.5, "Pending", IF(BP111&lt;0.5, "Complete", "In Progress"))</f>
        <v>#REF!</v>
      </c>
      <c r="BR111" s="22">
        <v>0</v>
      </c>
      <c r="BS111" s="22" t="e">
        <f t="shared" si="14"/>
        <v>#REF!</v>
      </c>
      <c r="BT111" s="23" t="e">
        <f>IF(SUMPRODUCT($J$85:BS$85,$J111:BS111)&lt;0.5, "Pending", IF(BS111&lt;0.5, "Complete", "In Progress"))</f>
        <v>#REF!</v>
      </c>
      <c r="BU111" s="22">
        <v>0</v>
      </c>
      <c r="BV111" s="22" t="e">
        <f t="shared" si="15"/>
        <v>#REF!</v>
      </c>
      <c r="BW111" s="23" t="e">
        <f>IF(SUMPRODUCT($J$85:BV$85,$J111:BV111)&lt;0.5, "Pending", IF(BV111&lt;0.5, "Complete", "In Progress"))</f>
        <v>#REF!</v>
      </c>
      <c r="BX111" s="22">
        <v>0</v>
      </c>
      <c r="BY111" s="22" t="e">
        <f t="shared" si="16"/>
        <v>#REF!</v>
      </c>
      <c r="BZ111" s="23" t="e">
        <f>IF(SUMPRODUCT($J$85:BY$85,$J111:BY111)&lt;0.5, "Pending", IF(BY111&lt;0.5, "Complete", "In Progress"))</f>
        <v>#REF!</v>
      </c>
      <c r="CA111" s="22">
        <v>0</v>
      </c>
      <c r="CB111" s="22" t="e">
        <f t="shared" si="17"/>
        <v>#REF!</v>
      </c>
      <c r="CC111" s="23" t="e">
        <f>IF(SUMPRODUCT($J$85:CB$85,$J111:CB111)&lt;0.5, "Pending", IF(CB111&lt;0.5, "Complete", "In Progress"))</f>
        <v>#REF!</v>
      </c>
      <c r="CD111" s="24"/>
      <c r="CE111" s="25">
        <f>SUMPRODUCT($H$85:AY$85,$H111:AY111)</f>
        <v>50</v>
      </c>
    </row>
    <row r="112" spans="1:83" ht="13.8" customHeight="1" x14ac:dyDescent="0.25">
      <c r="A112" s="16" t="s">
        <v>103</v>
      </c>
      <c r="B112" s="16" t="s">
        <v>110</v>
      </c>
      <c r="C112" s="16" t="s">
        <v>513</v>
      </c>
      <c r="D112" s="17">
        <v>7.1</v>
      </c>
      <c r="E112" s="158" t="s">
        <v>407</v>
      </c>
      <c r="F112" s="158" t="s">
        <v>495</v>
      </c>
      <c r="G112" s="169"/>
      <c r="H112" s="20">
        <v>1</v>
      </c>
      <c r="I112" s="21">
        <v>7</v>
      </c>
      <c r="J112" s="21">
        <v>0</v>
      </c>
      <c r="K112" s="21">
        <v>0</v>
      </c>
      <c r="L112" s="21">
        <v>0</v>
      </c>
      <c r="M112" s="21">
        <v>0</v>
      </c>
      <c r="N112" s="21">
        <v>0</v>
      </c>
      <c r="O112" s="21">
        <v>0</v>
      </c>
      <c r="P112" s="21">
        <v>0</v>
      </c>
      <c r="Q112" s="21">
        <v>0</v>
      </c>
      <c r="R112" s="21">
        <v>0</v>
      </c>
      <c r="S112" s="21">
        <v>0</v>
      </c>
      <c r="T112" s="21">
        <v>0</v>
      </c>
      <c r="U112" s="21">
        <v>0</v>
      </c>
      <c r="V112" s="21">
        <v>0</v>
      </c>
      <c r="W112" s="21">
        <v>0</v>
      </c>
      <c r="X112" s="21">
        <v>0</v>
      </c>
      <c r="Y112" s="21">
        <v>0</v>
      </c>
      <c r="Z112" s="21">
        <v>0</v>
      </c>
      <c r="AA112" s="21">
        <v>0</v>
      </c>
      <c r="AB112" s="21">
        <v>0</v>
      </c>
      <c r="AC112" s="21">
        <v>0</v>
      </c>
      <c r="AD112" s="21">
        <v>0</v>
      </c>
      <c r="AE112" s="21">
        <v>0</v>
      </c>
      <c r="AF112" s="21">
        <v>0</v>
      </c>
      <c r="AG112" s="21">
        <v>0</v>
      </c>
      <c r="AH112" s="21">
        <v>0</v>
      </c>
      <c r="AI112" s="21">
        <v>0</v>
      </c>
      <c r="AJ112" s="21">
        <v>0</v>
      </c>
      <c r="AK112" s="21">
        <v>0</v>
      </c>
      <c r="AL112" s="21">
        <v>0</v>
      </c>
      <c r="AM112" s="21">
        <v>0</v>
      </c>
      <c r="AN112" s="21">
        <v>0</v>
      </c>
      <c r="AO112" s="21">
        <v>0</v>
      </c>
      <c r="AP112" s="21">
        <v>0</v>
      </c>
      <c r="AQ112" s="21">
        <v>0</v>
      </c>
      <c r="AR112" s="21">
        <v>0</v>
      </c>
      <c r="AS112" s="21">
        <v>0</v>
      </c>
      <c r="AT112" s="21">
        <v>0</v>
      </c>
      <c r="AU112" s="21">
        <v>0</v>
      </c>
      <c r="AV112" s="21">
        <v>0</v>
      </c>
      <c r="AW112" s="21">
        <v>0</v>
      </c>
      <c r="AX112" s="21">
        <v>0</v>
      </c>
      <c r="AY112" s="21">
        <v>0</v>
      </c>
      <c r="AZ112" s="22">
        <v>0</v>
      </c>
      <c r="BA112" s="22" t="e">
        <f>MAX(#REF!-AZ112,0)</f>
        <v>#REF!</v>
      </c>
      <c r="BB112" s="23" t="e">
        <f>IF(SUMPRODUCT($J$85:BA$85,$J112:BA112)&lt;0.5, "Pending", IF(BA112&lt;0.5, "Complete", "In Progress"))</f>
        <v>#REF!</v>
      </c>
      <c r="BC112" s="22">
        <v>0</v>
      </c>
      <c r="BD112" s="22" t="e">
        <f t="shared" si="9"/>
        <v>#REF!</v>
      </c>
      <c r="BE112" s="23" t="e">
        <f>IF(SUMPRODUCT($J$85:BD$85,$J112:BD112)&lt;0.5, "Pending", IF(BD112&lt;0.5, "Complete", "In Progress"))</f>
        <v>#REF!</v>
      </c>
      <c r="BF112" s="22">
        <v>0</v>
      </c>
      <c r="BG112" s="22" t="e">
        <f t="shared" si="10"/>
        <v>#REF!</v>
      </c>
      <c r="BH112" s="23" t="e">
        <f>IF(SUMPRODUCT($J$85:BG$85,$J112:BG112)&lt;0.5, "Pending", IF(BG112&lt;0.5, "Complete", "In Progress"))</f>
        <v>#REF!</v>
      </c>
      <c r="BI112" s="22">
        <v>0</v>
      </c>
      <c r="BJ112" s="22" t="e">
        <f t="shared" si="11"/>
        <v>#REF!</v>
      </c>
      <c r="BK112" s="23" t="e">
        <f>IF(SUMPRODUCT($J$85:BJ$85,$J112:BJ112)&lt;0.5, "Pending", IF(BJ112&lt;0.5, "Complete", "In Progress"))</f>
        <v>#REF!</v>
      </c>
      <c r="BL112" s="22">
        <v>0</v>
      </c>
      <c r="BM112" s="22" t="e">
        <f t="shared" si="12"/>
        <v>#REF!</v>
      </c>
      <c r="BN112" s="23" t="e">
        <f>IF(SUMPRODUCT($J$85:BM$85,$J112:BM112)&lt;0.5, "Pending", IF(BM112&lt;0.5, "Complete", "In Progress"))</f>
        <v>#REF!</v>
      </c>
      <c r="BO112" s="22">
        <v>0</v>
      </c>
      <c r="BP112" s="22" t="e">
        <f t="shared" si="13"/>
        <v>#REF!</v>
      </c>
      <c r="BQ112" s="23" t="e">
        <f>IF(SUMPRODUCT($J$85:BP$85,$J112:BP112)&lt;0.5, "Pending", IF(BP112&lt;0.5, "Complete", "In Progress"))</f>
        <v>#REF!</v>
      </c>
      <c r="BR112" s="22">
        <v>0</v>
      </c>
      <c r="BS112" s="22" t="e">
        <f t="shared" si="14"/>
        <v>#REF!</v>
      </c>
      <c r="BT112" s="23" t="e">
        <f>IF(SUMPRODUCT($J$85:BS$85,$J112:BS112)&lt;0.5, "Pending", IF(BS112&lt;0.5, "Complete", "In Progress"))</f>
        <v>#REF!</v>
      </c>
      <c r="BU112" s="22">
        <v>0</v>
      </c>
      <c r="BV112" s="22" t="e">
        <f t="shared" si="15"/>
        <v>#REF!</v>
      </c>
      <c r="BW112" s="23" t="e">
        <f>IF(SUMPRODUCT($J$85:BV$85,$J112:BV112)&lt;0.5, "Pending", IF(BV112&lt;0.5, "Complete", "In Progress"))</f>
        <v>#REF!</v>
      </c>
      <c r="BX112" s="22">
        <v>0</v>
      </c>
      <c r="BY112" s="22" t="e">
        <f t="shared" si="16"/>
        <v>#REF!</v>
      </c>
      <c r="BZ112" s="23" t="e">
        <f>IF(SUMPRODUCT($J$85:BY$85,$J112:BY112)&lt;0.5, "Pending", IF(BY112&lt;0.5, "Complete", "In Progress"))</f>
        <v>#REF!</v>
      </c>
      <c r="CA112" s="22">
        <v>0</v>
      </c>
      <c r="CB112" s="22" t="e">
        <f t="shared" si="17"/>
        <v>#REF!</v>
      </c>
      <c r="CC112" s="23" t="e">
        <f>IF(SUMPRODUCT($J$85:CB$85,$J112:CB112)&lt;0.5, "Pending", IF(CB112&lt;0.5, "Complete", "In Progress"))</f>
        <v>#REF!</v>
      </c>
      <c r="CD112" s="24"/>
      <c r="CE112" s="25">
        <f>SUMPRODUCT($H$85:AY$85,$H112:AY112)</f>
        <v>50</v>
      </c>
    </row>
    <row r="113" spans="1:83" ht="13.8" customHeight="1" x14ac:dyDescent="0.25">
      <c r="A113" s="16" t="s">
        <v>103</v>
      </c>
      <c r="B113" s="16" t="s">
        <v>110</v>
      </c>
      <c r="C113" s="16" t="s">
        <v>514</v>
      </c>
      <c r="D113" s="17" t="s">
        <v>226</v>
      </c>
      <c r="E113" s="158" t="s">
        <v>408</v>
      </c>
      <c r="F113" s="158" t="s">
        <v>493</v>
      </c>
      <c r="G113" s="168"/>
      <c r="H113" s="20">
        <v>1</v>
      </c>
      <c r="I113" s="21">
        <v>56</v>
      </c>
      <c r="J113" s="21">
        <v>0</v>
      </c>
      <c r="K113" s="21">
        <v>0</v>
      </c>
      <c r="L113" s="21">
        <v>0</v>
      </c>
      <c r="M113" s="21">
        <v>0</v>
      </c>
      <c r="N113" s="21">
        <v>0</v>
      </c>
      <c r="O113" s="21">
        <v>0</v>
      </c>
      <c r="P113" s="21">
        <v>0</v>
      </c>
      <c r="Q113" s="21">
        <v>0</v>
      </c>
      <c r="R113" s="21">
        <v>0</v>
      </c>
      <c r="S113" s="21">
        <v>0</v>
      </c>
      <c r="T113" s="21">
        <v>0</v>
      </c>
      <c r="U113" s="21">
        <v>0</v>
      </c>
      <c r="V113" s="21">
        <v>0</v>
      </c>
      <c r="W113" s="21">
        <v>0</v>
      </c>
      <c r="X113" s="21">
        <v>0</v>
      </c>
      <c r="Y113" s="21">
        <v>0</v>
      </c>
      <c r="Z113" s="21">
        <v>0</v>
      </c>
      <c r="AA113" s="21">
        <v>0</v>
      </c>
      <c r="AB113" s="21">
        <v>0</v>
      </c>
      <c r="AC113" s="21">
        <v>0</v>
      </c>
      <c r="AD113" s="21">
        <v>0</v>
      </c>
      <c r="AE113" s="21">
        <v>0</v>
      </c>
      <c r="AF113" s="21">
        <v>0</v>
      </c>
      <c r="AG113" s="21">
        <v>0</v>
      </c>
      <c r="AH113" s="21">
        <v>0</v>
      </c>
      <c r="AI113" s="21">
        <v>0</v>
      </c>
      <c r="AJ113" s="21">
        <v>0</v>
      </c>
      <c r="AK113" s="21">
        <v>0</v>
      </c>
      <c r="AL113" s="21">
        <v>0</v>
      </c>
      <c r="AM113" s="21">
        <v>0</v>
      </c>
      <c r="AN113" s="21">
        <v>0</v>
      </c>
      <c r="AO113" s="21">
        <v>0</v>
      </c>
      <c r="AP113" s="21">
        <v>0</v>
      </c>
      <c r="AQ113" s="21">
        <v>0</v>
      </c>
      <c r="AR113" s="21">
        <v>0</v>
      </c>
      <c r="AS113" s="21">
        <v>0</v>
      </c>
      <c r="AT113" s="21">
        <v>0</v>
      </c>
      <c r="AU113" s="21">
        <v>0</v>
      </c>
      <c r="AV113" s="21">
        <v>0</v>
      </c>
      <c r="AW113" s="21">
        <v>0</v>
      </c>
      <c r="AX113" s="21">
        <v>0</v>
      </c>
      <c r="AY113" s="21">
        <v>0</v>
      </c>
      <c r="AZ113" s="22">
        <v>0</v>
      </c>
      <c r="BA113" s="22" t="e">
        <f>MAX(#REF!-AZ113,0)</f>
        <v>#REF!</v>
      </c>
      <c r="BB113" s="23" t="e">
        <f>IF(SUMPRODUCT($J$85:BA$85,$J113:BA113)&lt;0.5, "Pending", IF(BA113&lt;0.5, "Complete", "In Progress"))</f>
        <v>#REF!</v>
      </c>
      <c r="BC113" s="22">
        <v>0</v>
      </c>
      <c r="BD113" s="22" t="e">
        <f t="shared" si="9"/>
        <v>#REF!</v>
      </c>
      <c r="BE113" s="23" t="e">
        <f>IF(SUMPRODUCT($J$85:BD$85,$J113:BD113)&lt;0.5, "Pending", IF(BD113&lt;0.5, "Complete", "In Progress"))</f>
        <v>#REF!</v>
      </c>
      <c r="BF113" s="22">
        <v>0</v>
      </c>
      <c r="BG113" s="22" t="e">
        <f t="shared" si="10"/>
        <v>#REF!</v>
      </c>
      <c r="BH113" s="23" t="e">
        <f>IF(SUMPRODUCT($J$85:BG$85,$J113:BG113)&lt;0.5, "Pending", IF(BG113&lt;0.5, "Complete", "In Progress"))</f>
        <v>#REF!</v>
      </c>
      <c r="BI113" s="22">
        <v>0</v>
      </c>
      <c r="BJ113" s="22" t="e">
        <f t="shared" si="11"/>
        <v>#REF!</v>
      </c>
      <c r="BK113" s="23" t="e">
        <f>IF(SUMPRODUCT($J$85:BJ$85,$J113:BJ113)&lt;0.5, "Pending", IF(BJ113&lt;0.5, "Complete", "In Progress"))</f>
        <v>#REF!</v>
      </c>
      <c r="BL113" s="22">
        <v>0</v>
      </c>
      <c r="BM113" s="22" t="e">
        <f t="shared" si="12"/>
        <v>#REF!</v>
      </c>
      <c r="BN113" s="23" t="e">
        <f>IF(SUMPRODUCT($J$85:BM$85,$J113:BM113)&lt;0.5, "Pending", IF(BM113&lt;0.5, "Complete", "In Progress"))</f>
        <v>#REF!</v>
      </c>
      <c r="BO113" s="22">
        <v>0</v>
      </c>
      <c r="BP113" s="22" t="e">
        <f t="shared" si="13"/>
        <v>#REF!</v>
      </c>
      <c r="BQ113" s="23" t="e">
        <f>IF(SUMPRODUCT($J$85:BP$85,$J113:BP113)&lt;0.5, "Pending", IF(BP113&lt;0.5, "Complete", "In Progress"))</f>
        <v>#REF!</v>
      </c>
      <c r="BR113" s="22">
        <v>0</v>
      </c>
      <c r="BS113" s="22" t="e">
        <f t="shared" si="14"/>
        <v>#REF!</v>
      </c>
      <c r="BT113" s="23" t="e">
        <f>IF(SUMPRODUCT($J$85:BS$85,$J113:BS113)&lt;0.5, "Pending", IF(BS113&lt;0.5, "Complete", "In Progress"))</f>
        <v>#REF!</v>
      </c>
      <c r="BU113" s="22">
        <v>0</v>
      </c>
      <c r="BV113" s="22" t="e">
        <f t="shared" si="15"/>
        <v>#REF!</v>
      </c>
      <c r="BW113" s="23" t="e">
        <f>IF(SUMPRODUCT($J$85:BV$85,$J113:BV113)&lt;0.5, "Pending", IF(BV113&lt;0.5, "Complete", "In Progress"))</f>
        <v>#REF!</v>
      </c>
      <c r="BX113" s="22">
        <v>0</v>
      </c>
      <c r="BY113" s="22" t="e">
        <f t="shared" si="16"/>
        <v>#REF!</v>
      </c>
      <c r="BZ113" s="23" t="e">
        <f>IF(SUMPRODUCT($J$85:BY$85,$J113:BY113)&lt;0.5, "Pending", IF(BY113&lt;0.5, "Complete", "In Progress"))</f>
        <v>#REF!</v>
      </c>
      <c r="CA113" s="22">
        <v>0</v>
      </c>
      <c r="CB113" s="22" t="e">
        <f t="shared" si="17"/>
        <v>#REF!</v>
      </c>
      <c r="CC113" s="23" t="e">
        <f>IF(SUMPRODUCT($J$85:CB$85,$J113:CB113)&lt;0.5, "Pending", IF(CB113&lt;0.5, "Complete", "In Progress"))</f>
        <v>#REF!</v>
      </c>
      <c r="CD113" s="24"/>
      <c r="CE113" s="25">
        <f>SUMPRODUCT($H$85:AY$85,$H113:AY113)</f>
        <v>393</v>
      </c>
    </row>
    <row r="114" spans="1:83" ht="13.8" customHeight="1" x14ac:dyDescent="0.25">
      <c r="A114" s="16" t="s">
        <v>103</v>
      </c>
      <c r="B114" s="16" t="s">
        <v>108</v>
      </c>
      <c r="C114" s="16" t="s">
        <v>514</v>
      </c>
      <c r="D114" s="17" t="s">
        <v>227</v>
      </c>
      <c r="E114" s="158" t="s">
        <v>409</v>
      </c>
      <c r="F114" s="158" t="s">
        <v>494</v>
      </c>
      <c r="G114" s="19"/>
      <c r="H114" s="20">
        <v>1</v>
      </c>
      <c r="I114" s="21">
        <v>7</v>
      </c>
      <c r="J114" s="21">
        <v>0</v>
      </c>
      <c r="K114" s="21">
        <v>0</v>
      </c>
      <c r="L114" s="21">
        <v>0</v>
      </c>
      <c r="M114" s="21">
        <v>0</v>
      </c>
      <c r="N114" s="21">
        <v>0</v>
      </c>
      <c r="O114" s="21">
        <v>0</v>
      </c>
      <c r="P114" s="21">
        <v>0</v>
      </c>
      <c r="Q114" s="21">
        <v>0</v>
      </c>
      <c r="R114" s="21">
        <v>0</v>
      </c>
      <c r="S114" s="21">
        <v>0</v>
      </c>
      <c r="T114" s="21">
        <v>0</v>
      </c>
      <c r="U114" s="21">
        <v>0</v>
      </c>
      <c r="V114" s="21">
        <v>0</v>
      </c>
      <c r="W114" s="21">
        <v>0</v>
      </c>
      <c r="X114" s="21">
        <v>0</v>
      </c>
      <c r="Y114" s="21">
        <v>0</v>
      </c>
      <c r="Z114" s="21">
        <v>0</v>
      </c>
      <c r="AA114" s="21">
        <v>0</v>
      </c>
      <c r="AB114" s="21">
        <v>0</v>
      </c>
      <c r="AC114" s="21">
        <v>0</v>
      </c>
      <c r="AD114" s="21">
        <v>0</v>
      </c>
      <c r="AE114" s="21">
        <v>0</v>
      </c>
      <c r="AF114" s="21">
        <v>0</v>
      </c>
      <c r="AG114" s="21">
        <v>0</v>
      </c>
      <c r="AH114" s="21">
        <v>0</v>
      </c>
      <c r="AI114" s="21">
        <v>0</v>
      </c>
      <c r="AJ114" s="21">
        <v>0</v>
      </c>
      <c r="AK114" s="21">
        <v>0</v>
      </c>
      <c r="AL114" s="21">
        <v>0</v>
      </c>
      <c r="AM114" s="21">
        <v>0</v>
      </c>
      <c r="AN114" s="21">
        <v>0</v>
      </c>
      <c r="AO114" s="21">
        <v>0</v>
      </c>
      <c r="AP114" s="21">
        <v>0</v>
      </c>
      <c r="AQ114" s="21">
        <v>0</v>
      </c>
      <c r="AR114" s="21">
        <v>0</v>
      </c>
      <c r="AS114" s="21">
        <v>0</v>
      </c>
      <c r="AT114" s="21">
        <v>0</v>
      </c>
      <c r="AU114" s="21">
        <v>0</v>
      </c>
      <c r="AV114" s="21">
        <v>0</v>
      </c>
      <c r="AW114" s="21">
        <v>0</v>
      </c>
      <c r="AX114" s="21">
        <v>0</v>
      </c>
      <c r="AY114" s="21">
        <v>0</v>
      </c>
      <c r="AZ114" s="22">
        <v>0</v>
      </c>
      <c r="BA114" s="22" t="e">
        <f>MAX(#REF!-AZ114,0)</f>
        <v>#REF!</v>
      </c>
      <c r="BB114" s="23" t="e">
        <f>IF(SUMPRODUCT($J$85:BA$85,$J114:BA114)&lt;0.5, "Pending", IF(BA114&lt;0.5, "Complete", "In Progress"))</f>
        <v>#REF!</v>
      </c>
      <c r="BC114" s="22">
        <v>0</v>
      </c>
      <c r="BD114" s="22" t="e">
        <f t="shared" si="9"/>
        <v>#REF!</v>
      </c>
      <c r="BE114" s="23" t="e">
        <f>IF(SUMPRODUCT($J$85:BD$85,$J114:BD114)&lt;0.5, "Pending", IF(BD114&lt;0.5, "Complete", "In Progress"))</f>
        <v>#REF!</v>
      </c>
      <c r="BF114" s="22">
        <v>0</v>
      </c>
      <c r="BG114" s="22" t="e">
        <f t="shared" si="10"/>
        <v>#REF!</v>
      </c>
      <c r="BH114" s="23" t="e">
        <f>IF(SUMPRODUCT($J$85:BG$85,$J114:BG114)&lt;0.5, "Pending", IF(BG114&lt;0.5, "Complete", "In Progress"))</f>
        <v>#REF!</v>
      </c>
      <c r="BI114" s="22">
        <v>0</v>
      </c>
      <c r="BJ114" s="22" t="e">
        <f t="shared" si="11"/>
        <v>#REF!</v>
      </c>
      <c r="BK114" s="23" t="e">
        <f>IF(SUMPRODUCT($J$85:BJ$85,$J114:BJ114)&lt;0.5, "Pending", IF(BJ114&lt;0.5, "Complete", "In Progress"))</f>
        <v>#REF!</v>
      </c>
      <c r="BL114" s="22">
        <v>0</v>
      </c>
      <c r="BM114" s="22" t="e">
        <f t="shared" si="12"/>
        <v>#REF!</v>
      </c>
      <c r="BN114" s="23" t="e">
        <f>IF(SUMPRODUCT($J$85:BM$85,$J114:BM114)&lt;0.5, "Pending", IF(BM114&lt;0.5, "Complete", "In Progress"))</f>
        <v>#REF!</v>
      </c>
      <c r="BO114" s="22">
        <v>0</v>
      </c>
      <c r="BP114" s="22" t="e">
        <f t="shared" si="13"/>
        <v>#REF!</v>
      </c>
      <c r="BQ114" s="23" t="e">
        <f>IF(SUMPRODUCT($J$85:BP$85,$J114:BP114)&lt;0.5, "Pending", IF(BP114&lt;0.5, "Complete", "In Progress"))</f>
        <v>#REF!</v>
      </c>
      <c r="BR114" s="22">
        <v>0</v>
      </c>
      <c r="BS114" s="22" t="e">
        <f t="shared" si="14"/>
        <v>#REF!</v>
      </c>
      <c r="BT114" s="23" t="e">
        <f>IF(SUMPRODUCT($J$85:BS$85,$J114:BS114)&lt;0.5, "Pending", IF(BS114&lt;0.5, "Complete", "In Progress"))</f>
        <v>#REF!</v>
      </c>
      <c r="BU114" s="22">
        <v>0</v>
      </c>
      <c r="BV114" s="22" t="e">
        <f t="shared" si="15"/>
        <v>#REF!</v>
      </c>
      <c r="BW114" s="23" t="e">
        <f>IF(SUMPRODUCT($J$85:BV$85,$J114:BV114)&lt;0.5, "Pending", IF(BV114&lt;0.5, "Complete", "In Progress"))</f>
        <v>#REF!</v>
      </c>
      <c r="BX114" s="22">
        <v>0</v>
      </c>
      <c r="BY114" s="22" t="e">
        <f t="shared" si="16"/>
        <v>#REF!</v>
      </c>
      <c r="BZ114" s="23" t="e">
        <f>IF(SUMPRODUCT($J$85:BY$85,$J114:BY114)&lt;0.5, "Pending", IF(BY114&lt;0.5, "Complete", "In Progress"))</f>
        <v>#REF!</v>
      </c>
      <c r="CA114" s="22">
        <v>0</v>
      </c>
      <c r="CB114" s="22" t="e">
        <f t="shared" si="17"/>
        <v>#REF!</v>
      </c>
      <c r="CC114" s="23" t="e">
        <f>IF(SUMPRODUCT($J$85:CB$85,$J114:CB114)&lt;0.5, "Pending", IF(CB114&lt;0.5, "Complete", "In Progress"))</f>
        <v>#REF!</v>
      </c>
      <c r="CD114" s="24"/>
      <c r="CE114" s="25">
        <f>SUMPRODUCT($H$85:AY$85,$H114:AY114)</f>
        <v>50</v>
      </c>
    </row>
    <row r="115" spans="1:83" ht="13.8" customHeight="1" x14ac:dyDescent="0.25">
      <c r="A115" s="16" t="s">
        <v>103</v>
      </c>
      <c r="B115" s="16" t="s">
        <v>117</v>
      </c>
      <c r="C115" s="16" t="s">
        <v>514</v>
      </c>
      <c r="D115" s="17" t="s">
        <v>228</v>
      </c>
      <c r="E115" s="158" t="s">
        <v>410</v>
      </c>
      <c r="F115" s="158" t="s">
        <v>497</v>
      </c>
      <c r="G115" s="19"/>
      <c r="H115" s="20">
        <v>1</v>
      </c>
      <c r="I115" s="21">
        <v>7</v>
      </c>
      <c r="J115" s="21">
        <v>0</v>
      </c>
      <c r="K115" s="21">
        <v>0</v>
      </c>
      <c r="L115" s="21">
        <v>0</v>
      </c>
      <c r="M115" s="21">
        <v>0</v>
      </c>
      <c r="N115" s="21">
        <v>0</v>
      </c>
      <c r="O115" s="21">
        <v>0</v>
      </c>
      <c r="P115" s="21">
        <v>0</v>
      </c>
      <c r="Q115" s="21">
        <v>0</v>
      </c>
      <c r="R115" s="21">
        <v>0</v>
      </c>
      <c r="S115" s="21">
        <v>0</v>
      </c>
      <c r="T115" s="21">
        <v>0</v>
      </c>
      <c r="U115" s="21">
        <v>0</v>
      </c>
      <c r="V115" s="21">
        <v>0</v>
      </c>
      <c r="W115" s="21">
        <v>0</v>
      </c>
      <c r="X115" s="21">
        <v>0</v>
      </c>
      <c r="Y115" s="21">
        <v>0</v>
      </c>
      <c r="Z115" s="21">
        <v>0</v>
      </c>
      <c r="AA115" s="21">
        <v>0</v>
      </c>
      <c r="AB115" s="21">
        <v>0</v>
      </c>
      <c r="AC115" s="21">
        <v>0</v>
      </c>
      <c r="AD115" s="21">
        <v>0</v>
      </c>
      <c r="AE115" s="21">
        <v>0</v>
      </c>
      <c r="AF115" s="21">
        <v>0</v>
      </c>
      <c r="AG115" s="21">
        <v>0</v>
      </c>
      <c r="AH115" s="21">
        <v>0</v>
      </c>
      <c r="AI115" s="21">
        <v>0</v>
      </c>
      <c r="AJ115" s="21">
        <v>0</v>
      </c>
      <c r="AK115" s="21">
        <v>0</v>
      </c>
      <c r="AL115" s="21">
        <v>0</v>
      </c>
      <c r="AM115" s="21">
        <v>0</v>
      </c>
      <c r="AN115" s="21">
        <v>0</v>
      </c>
      <c r="AO115" s="21">
        <v>0</v>
      </c>
      <c r="AP115" s="21">
        <v>0</v>
      </c>
      <c r="AQ115" s="21">
        <v>0</v>
      </c>
      <c r="AR115" s="21">
        <v>0</v>
      </c>
      <c r="AS115" s="21">
        <v>0</v>
      </c>
      <c r="AT115" s="21">
        <v>0</v>
      </c>
      <c r="AU115" s="21">
        <v>0</v>
      </c>
      <c r="AV115" s="21">
        <v>0</v>
      </c>
      <c r="AW115" s="21">
        <v>0</v>
      </c>
      <c r="AX115" s="21">
        <v>0</v>
      </c>
      <c r="AY115" s="21">
        <v>0</v>
      </c>
      <c r="AZ115" s="22">
        <v>0</v>
      </c>
      <c r="BA115" s="22" t="e">
        <f>MAX(#REF!-AZ115,0)</f>
        <v>#REF!</v>
      </c>
      <c r="BB115" s="23" t="e">
        <f>IF(SUMPRODUCT($J$85:BA$85,$J115:BA115)&lt;0.5, "Pending", IF(BA115&lt;0.5, "Complete", "In Progress"))</f>
        <v>#REF!</v>
      </c>
      <c r="BC115" s="22">
        <v>0</v>
      </c>
      <c r="BD115" s="22" t="e">
        <f t="shared" si="9"/>
        <v>#REF!</v>
      </c>
      <c r="BE115" s="23" t="e">
        <f>IF(SUMPRODUCT($J$85:BD$85,$J115:BD115)&lt;0.5, "Pending", IF(BD115&lt;0.5, "Complete", "In Progress"))</f>
        <v>#REF!</v>
      </c>
      <c r="BF115" s="22">
        <v>0</v>
      </c>
      <c r="BG115" s="22" t="e">
        <f t="shared" si="10"/>
        <v>#REF!</v>
      </c>
      <c r="BH115" s="23" t="e">
        <f>IF(SUMPRODUCT($J$85:BG$85,$J115:BG115)&lt;0.5, "Pending", IF(BG115&lt;0.5, "Complete", "In Progress"))</f>
        <v>#REF!</v>
      </c>
      <c r="BI115" s="22">
        <v>0</v>
      </c>
      <c r="BJ115" s="22" t="e">
        <f t="shared" si="11"/>
        <v>#REF!</v>
      </c>
      <c r="BK115" s="23" t="e">
        <f>IF(SUMPRODUCT($J$85:BJ$85,$J115:BJ115)&lt;0.5, "Pending", IF(BJ115&lt;0.5, "Complete", "In Progress"))</f>
        <v>#REF!</v>
      </c>
      <c r="BL115" s="22">
        <v>0</v>
      </c>
      <c r="BM115" s="22" t="e">
        <f t="shared" si="12"/>
        <v>#REF!</v>
      </c>
      <c r="BN115" s="23" t="e">
        <f>IF(SUMPRODUCT($J$85:BM$85,$J115:BM115)&lt;0.5, "Pending", IF(BM115&lt;0.5, "Complete", "In Progress"))</f>
        <v>#REF!</v>
      </c>
      <c r="BO115" s="22">
        <v>0</v>
      </c>
      <c r="BP115" s="22" t="e">
        <f t="shared" si="13"/>
        <v>#REF!</v>
      </c>
      <c r="BQ115" s="23" t="e">
        <f>IF(SUMPRODUCT($J$85:BP$85,$J115:BP115)&lt;0.5, "Pending", IF(BP115&lt;0.5, "Complete", "In Progress"))</f>
        <v>#REF!</v>
      </c>
      <c r="BR115" s="22">
        <v>0</v>
      </c>
      <c r="BS115" s="22" t="e">
        <f t="shared" si="14"/>
        <v>#REF!</v>
      </c>
      <c r="BT115" s="23" t="e">
        <f>IF(SUMPRODUCT($J$85:BS$85,$J115:BS115)&lt;0.5, "Pending", IF(BS115&lt;0.5, "Complete", "In Progress"))</f>
        <v>#REF!</v>
      </c>
      <c r="BU115" s="22">
        <v>0</v>
      </c>
      <c r="BV115" s="22" t="e">
        <f t="shared" si="15"/>
        <v>#REF!</v>
      </c>
      <c r="BW115" s="23" t="e">
        <f>IF(SUMPRODUCT($J$85:BV$85,$J115:BV115)&lt;0.5, "Pending", IF(BV115&lt;0.5, "Complete", "In Progress"))</f>
        <v>#REF!</v>
      </c>
      <c r="BX115" s="22">
        <v>0</v>
      </c>
      <c r="BY115" s="22" t="e">
        <f t="shared" si="16"/>
        <v>#REF!</v>
      </c>
      <c r="BZ115" s="23" t="e">
        <f>IF(SUMPRODUCT($J$85:BY$85,$J115:BY115)&lt;0.5, "Pending", IF(BY115&lt;0.5, "Complete", "In Progress"))</f>
        <v>#REF!</v>
      </c>
      <c r="CA115" s="22">
        <v>0</v>
      </c>
      <c r="CB115" s="22" t="e">
        <f t="shared" si="17"/>
        <v>#REF!</v>
      </c>
      <c r="CC115" s="23" t="e">
        <f>IF(SUMPRODUCT($J$85:CB$85,$J115:CB115)&lt;0.5, "Pending", IF(CB115&lt;0.5, "Complete", "In Progress"))</f>
        <v>#REF!</v>
      </c>
      <c r="CD115" s="24"/>
      <c r="CE115" s="25">
        <f>SUMPRODUCT($H$85:AY$85,$H115:AY115)</f>
        <v>50</v>
      </c>
    </row>
    <row r="116" spans="1:83" ht="13.8" customHeight="1" x14ac:dyDescent="0.25">
      <c r="A116" s="16" t="s">
        <v>103</v>
      </c>
      <c r="B116" s="16" t="s">
        <v>110</v>
      </c>
      <c r="C116" s="16" t="s">
        <v>514</v>
      </c>
      <c r="D116" s="17" t="s">
        <v>135</v>
      </c>
      <c r="E116" s="158" t="s">
        <v>411</v>
      </c>
      <c r="F116" s="158" t="s">
        <v>498</v>
      </c>
      <c r="G116" s="19"/>
      <c r="H116" s="20">
        <v>1</v>
      </c>
      <c r="I116" s="21">
        <v>7</v>
      </c>
      <c r="J116" s="21">
        <v>0</v>
      </c>
      <c r="K116" s="21">
        <v>0</v>
      </c>
      <c r="L116" s="21">
        <v>0</v>
      </c>
      <c r="M116" s="21">
        <v>0</v>
      </c>
      <c r="N116" s="21">
        <v>0</v>
      </c>
      <c r="O116" s="21">
        <v>0</v>
      </c>
      <c r="P116" s="21">
        <v>0</v>
      </c>
      <c r="Q116" s="21">
        <v>0</v>
      </c>
      <c r="R116" s="21">
        <v>0</v>
      </c>
      <c r="S116" s="21">
        <v>0</v>
      </c>
      <c r="T116" s="21">
        <v>0</v>
      </c>
      <c r="U116" s="21">
        <v>0</v>
      </c>
      <c r="V116" s="21">
        <v>0</v>
      </c>
      <c r="W116" s="21">
        <v>0</v>
      </c>
      <c r="X116" s="21">
        <v>0</v>
      </c>
      <c r="Y116" s="21">
        <v>0</v>
      </c>
      <c r="Z116" s="21">
        <v>0</v>
      </c>
      <c r="AA116" s="21">
        <v>0</v>
      </c>
      <c r="AB116" s="21">
        <v>0</v>
      </c>
      <c r="AC116" s="21">
        <v>0</v>
      </c>
      <c r="AD116" s="21">
        <v>0</v>
      </c>
      <c r="AE116" s="21">
        <v>0</v>
      </c>
      <c r="AF116" s="21">
        <v>0</v>
      </c>
      <c r="AG116" s="21">
        <v>0</v>
      </c>
      <c r="AH116" s="21">
        <v>0</v>
      </c>
      <c r="AI116" s="21">
        <v>0</v>
      </c>
      <c r="AJ116" s="21">
        <v>0</v>
      </c>
      <c r="AK116" s="21">
        <v>0</v>
      </c>
      <c r="AL116" s="21">
        <v>0</v>
      </c>
      <c r="AM116" s="21">
        <v>0</v>
      </c>
      <c r="AN116" s="21">
        <v>0</v>
      </c>
      <c r="AO116" s="21">
        <v>0</v>
      </c>
      <c r="AP116" s="21">
        <v>0</v>
      </c>
      <c r="AQ116" s="21">
        <v>0</v>
      </c>
      <c r="AR116" s="21">
        <v>0</v>
      </c>
      <c r="AS116" s="21">
        <v>0</v>
      </c>
      <c r="AT116" s="21">
        <v>0</v>
      </c>
      <c r="AU116" s="21">
        <v>0</v>
      </c>
      <c r="AV116" s="21">
        <v>0</v>
      </c>
      <c r="AW116" s="21">
        <v>0</v>
      </c>
      <c r="AX116" s="21">
        <v>0</v>
      </c>
      <c r="AY116" s="21">
        <v>0</v>
      </c>
      <c r="AZ116" s="22">
        <v>0</v>
      </c>
      <c r="BA116" s="22" t="e">
        <f>MAX(#REF!-AZ116,0)</f>
        <v>#REF!</v>
      </c>
      <c r="BB116" s="23" t="e">
        <f>IF(SUMPRODUCT($J$85:BA$85,$J116:BA116)&lt;0.5, "Pending", IF(BA116&lt;0.5, "Complete", "In Progress"))</f>
        <v>#REF!</v>
      </c>
      <c r="BC116" s="22">
        <v>0</v>
      </c>
      <c r="BD116" s="22" t="e">
        <f t="shared" si="9"/>
        <v>#REF!</v>
      </c>
      <c r="BE116" s="23" t="e">
        <f>IF(SUMPRODUCT($J$85:BD$85,$J116:BD116)&lt;0.5, "Pending", IF(BD116&lt;0.5, "Complete", "In Progress"))</f>
        <v>#REF!</v>
      </c>
      <c r="BF116" s="22">
        <v>0</v>
      </c>
      <c r="BG116" s="22" t="e">
        <f t="shared" si="10"/>
        <v>#REF!</v>
      </c>
      <c r="BH116" s="23" t="e">
        <f>IF(SUMPRODUCT($J$85:BG$85,$J116:BG116)&lt;0.5, "Pending", IF(BG116&lt;0.5, "Complete", "In Progress"))</f>
        <v>#REF!</v>
      </c>
      <c r="BI116" s="22">
        <v>0</v>
      </c>
      <c r="BJ116" s="22" t="e">
        <f t="shared" si="11"/>
        <v>#REF!</v>
      </c>
      <c r="BK116" s="23" t="e">
        <f>IF(SUMPRODUCT($J$85:BJ$85,$J116:BJ116)&lt;0.5, "Pending", IF(BJ116&lt;0.5, "Complete", "In Progress"))</f>
        <v>#REF!</v>
      </c>
      <c r="BL116" s="22">
        <v>0</v>
      </c>
      <c r="BM116" s="22" t="e">
        <f t="shared" si="12"/>
        <v>#REF!</v>
      </c>
      <c r="BN116" s="23" t="e">
        <f>IF(SUMPRODUCT($J$85:BM$85,$J116:BM116)&lt;0.5, "Pending", IF(BM116&lt;0.5, "Complete", "In Progress"))</f>
        <v>#REF!</v>
      </c>
      <c r="BO116" s="22">
        <v>0</v>
      </c>
      <c r="BP116" s="22" t="e">
        <f t="shared" si="13"/>
        <v>#REF!</v>
      </c>
      <c r="BQ116" s="23" t="e">
        <f>IF(SUMPRODUCT($J$85:BP$85,$J116:BP116)&lt;0.5, "Pending", IF(BP116&lt;0.5, "Complete", "In Progress"))</f>
        <v>#REF!</v>
      </c>
      <c r="BR116" s="22">
        <v>0</v>
      </c>
      <c r="BS116" s="22" t="e">
        <f t="shared" si="14"/>
        <v>#REF!</v>
      </c>
      <c r="BT116" s="23" t="e">
        <f>IF(SUMPRODUCT($J$85:BS$85,$J116:BS116)&lt;0.5, "Pending", IF(BS116&lt;0.5, "Complete", "In Progress"))</f>
        <v>#REF!</v>
      </c>
      <c r="BU116" s="22">
        <v>0</v>
      </c>
      <c r="BV116" s="22" t="e">
        <f t="shared" si="15"/>
        <v>#REF!</v>
      </c>
      <c r="BW116" s="23" t="e">
        <f>IF(SUMPRODUCT($J$85:BV$85,$J116:BV116)&lt;0.5, "Pending", IF(BV116&lt;0.5, "Complete", "In Progress"))</f>
        <v>#REF!</v>
      </c>
      <c r="BX116" s="22">
        <v>0</v>
      </c>
      <c r="BY116" s="22" t="e">
        <f t="shared" si="16"/>
        <v>#REF!</v>
      </c>
      <c r="BZ116" s="23" t="e">
        <f>IF(SUMPRODUCT($J$85:BY$85,$J116:BY116)&lt;0.5, "Pending", IF(BY116&lt;0.5, "Complete", "In Progress"))</f>
        <v>#REF!</v>
      </c>
      <c r="CA116" s="22">
        <v>0</v>
      </c>
      <c r="CB116" s="22" t="e">
        <f t="shared" si="17"/>
        <v>#REF!</v>
      </c>
      <c r="CC116" s="23" t="e">
        <f>IF(SUMPRODUCT($J$85:CB$85,$J116:CB116)&lt;0.5, "Pending", IF(CB116&lt;0.5, "Complete", "In Progress"))</f>
        <v>#REF!</v>
      </c>
      <c r="CD116" s="24"/>
      <c r="CE116" s="25">
        <f>SUMPRODUCT($H$85:AY$85,$H116:AY116)</f>
        <v>50</v>
      </c>
    </row>
    <row r="117" spans="1:83" ht="13.8" customHeight="1" x14ac:dyDescent="0.25">
      <c r="A117" s="16" t="s">
        <v>104</v>
      </c>
      <c r="B117" s="16" t="s">
        <v>118</v>
      </c>
      <c r="C117" s="16" t="s">
        <v>514</v>
      </c>
      <c r="D117" s="17" t="s">
        <v>229</v>
      </c>
      <c r="E117" s="158" t="s">
        <v>412</v>
      </c>
      <c r="F117" s="158" t="s">
        <v>496</v>
      </c>
      <c r="G117" s="19"/>
      <c r="H117" s="20">
        <v>1</v>
      </c>
      <c r="I117" s="21">
        <v>7</v>
      </c>
      <c r="J117" s="21">
        <v>0</v>
      </c>
      <c r="K117" s="21">
        <v>0</v>
      </c>
      <c r="L117" s="21">
        <v>0</v>
      </c>
      <c r="M117" s="21">
        <v>0</v>
      </c>
      <c r="N117" s="21">
        <v>0</v>
      </c>
      <c r="O117" s="21">
        <v>0</v>
      </c>
      <c r="P117" s="21">
        <v>0</v>
      </c>
      <c r="Q117" s="21">
        <v>0</v>
      </c>
      <c r="R117" s="21">
        <v>0</v>
      </c>
      <c r="S117" s="21">
        <v>0</v>
      </c>
      <c r="T117" s="21">
        <v>0</v>
      </c>
      <c r="U117" s="21">
        <v>0</v>
      </c>
      <c r="V117" s="21">
        <v>0</v>
      </c>
      <c r="W117" s="21">
        <v>0</v>
      </c>
      <c r="X117" s="21">
        <v>0</v>
      </c>
      <c r="Y117" s="21">
        <v>0</v>
      </c>
      <c r="Z117" s="21">
        <v>0</v>
      </c>
      <c r="AA117" s="21">
        <v>0</v>
      </c>
      <c r="AB117" s="21">
        <v>0</v>
      </c>
      <c r="AC117" s="21">
        <v>0</v>
      </c>
      <c r="AD117" s="21">
        <v>0</v>
      </c>
      <c r="AE117" s="21">
        <v>0</v>
      </c>
      <c r="AF117" s="21">
        <v>0</v>
      </c>
      <c r="AG117" s="21">
        <v>0</v>
      </c>
      <c r="AH117" s="21">
        <v>0</v>
      </c>
      <c r="AI117" s="21">
        <v>0</v>
      </c>
      <c r="AJ117" s="21">
        <v>0</v>
      </c>
      <c r="AK117" s="21">
        <v>0</v>
      </c>
      <c r="AL117" s="21">
        <v>0</v>
      </c>
      <c r="AM117" s="21">
        <v>0</v>
      </c>
      <c r="AN117" s="21">
        <v>0</v>
      </c>
      <c r="AO117" s="21">
        <v>0</v>
      </c>
      <c r="AP117" s="21">
        <v>0</v>
      </c>
      <c r="AQ117" s="21">
        <v>0</v>
      </c>
      <c r="AR117" s="21">
        <v>0</v>
      </c>
      <c r="AS117" s="21">
        <v>0</v>
      </c>
      <c r="AT117" s="21">
        <v>0</v>
      </c>
      <c r="AU117" s="21">
        <v>0</v>
      </c>
      <c r="AV117" s="21">
        <v>0</v>
      </c>
      <c r="AW117" s="21">
        <v>0</v>
      </c>
      <c r="AX117" s="21">
        <v>0</v>
      </c>
      <c r="AY117" s="21">
        <v>0</v>
      </c>
      <c r="AZ117" s="22">
        <v>0</v>
      </c>
      <c r="BA117" s="22" t="e">
        <f>MAX(#REF!-AZ117,0)</f>
        <v>#REF!</v>
      </c>
      <c r="BB117" s="23" t="e">
        <f>IF(SUMPRODUCT($J$85:BA$85,$J117:BA117)&lt;0.5, "Pending", IF(BA117&lt;0.5, "Complete", "In Progress"))</f>
        <v>#REF!</v>
      </c>
      <c r="BC117" s="22">
        <v>0</v>
      </c>
      <c r="BD117" s="22" t="e">
        <f t="shared" si="9"/>
        <v>#REF!</v>
      </c>
      <c r="BE117" s="23" t="e">
        <f>IF(SUMPRODUCT($J$85:BD$85,$J117:BD117)&lt;0.5, "Pending", IF(BD117&lt;0.5, "Complete", "In Progress"))</f>
        <v>#REF!</v>
      </c>
      <c r="BF117" s="22">
        <v>0</v>
      </c>
      <c r="BG117" s="22" t="e">
        <f t="shared" si="10"/>
        <v>#REF!</v>
      </c>
      <c r="BH117" s="23" t="e">
        <f>IF(SUMPRODUCT($J$85:BG$85,$J117:BG117)&lt;0.5, "Pending", IF(BG117&lt;0.5, "Complete", "In Progress"))</f>
        <v>#REF!</v>
      </c>
      <c r="BI117" s="22">
        <v>0</v>
      </c>
      <c r="BJ117" s="22" t="e">
        <f t="shared" si="11"/>
        <v>#REF!</v>
      </c>
      <c r="BK117" s="23" t="e">
        <f>IF(SUMPRODUCT($J$85:BJ$85,$J117:BJ117)&lt;0.5, "Pending", IF(BJ117&lt;0.5, "Complete", "In Progress"))</f>
        <v>#REF!</v>
      </c>
      <c r="BL117" s="22">
        <v>0</v>
      </c>
      <c r="BM117" s="22" t="e">
        <f t="shared" si="12"/>
        <v>#REF!</v>
      </c>
      <c r="BN117" s="23" t="e">
        <f>IF(SUMPRODUCT($J$85:BM$85,$J117:BM117)&lt;0.5, "Pending", IF(BM117&lt;0.5, "Complete", "In Progress"))</f>
        <v>#REF!</v>
      </c>
      <c r="BO117" s="22">
        <v>0</v>
      </c>
      <c r="BP117" s="22" t="e">
        <f t="shared" si="13"/>
        <v>#REF!</v>
      </c>
      <c r="BQ117" s="23" t="e">
        <f>IF(SUMPRODUCT($J$85:BP$85,$J117:BP117)&lt;0.5, "Pending", IF(BP117&lt;0.5, "Complete", "In Progress"))</f>
        <v>#REF!</v>
      </c>
      <c r="BR117" s="22">
        <v>0</v>
      </c>
      <c r="BS117" s="22" t="e">
        <f t="shared" si="14"/>
        <v>#REF!</v>
      </c>
      <c r="BT117" s="23" t="e">
        <f>IF(SUMPRODUCT($J$85:BS$85,$J117:BS117)&lt;0.5, "Pending", IF(BS117&lt;0.5, "Complete", "In Progress"))</f>
        <v>#REF!</v>
      </c>
      <c r="BU117" s="22">
        <v>0</v>
      </c>
      <c r="BV117" s="22" t="e">
        <f t="shared" si="15"/>
        <v>#REF!</v>
      </c>
      <c r="BW117" s="23" t="e">
        <f>IF(SUMPRODUCT($J$85:BV$85,$J117:BV117)&lt;0.5, "Pending", IF(BV117&lt;0.5, "Complete", "In Progress"))</f>
        <v>#REF!</v>
      </c>
      <c r="BX117" s="22">
        <v>0</v>
      </c>
      <c r="BY117" s="22" t="e">
        <f t="shared" si="16"/>
        <v>#REF!</v>
      </c>
      <c r="BZ117" s="23" t="e">
        <f>IF(SUMPRODUCT($J$85:BY$85,$J117:BY117)&lt;0.5, "Pending", IF(BY117&lt;0.5, "Complete", "In Progress"))</f>
        <v>#REF!</v>
      </c>
      <c r="CA117" s="22">
        <v>0</v>
      </c>
      <c r="CB117" s="22" t="e">
        <f t="shared" si="17"/>
        <v>#REF!</v>
      </c>
      <c r="CC117" s="23" t="e">
        <f>IF(SUMPRODUCT($J$85:CB$85,$J117:CB117)&lt;0.5, "Pending", IF(CB117&lt;0.5, "Complete", "In Progress"))</f>
        <v>#REF!</v>
      </c>
      <c r="CD117" s="24"/>
      <c r="CE117" s="25">
        <f>SUMPRODUCT($H$85:AY$85,$H117:AY117)</f>
        <v>50</v>
      </c>
    </row>
    <row r="118" spans="1:83" ht="13.8" customHeight="1" x14ac:dyDescent="0.25">
      <c r="A118" s="16" t="s">
        <v>103</v>
      </c>
      <c r="B118" s="16" t="s">
        <v>110</v>
      </c>
      <c r="C118" s="16" t="s">
        <v>514</v>
      </c>
      <c r="D118" s="17" t="s">
        <v>230</v>
      </c>
      <c r="E118" s="158" t="s">
        <v>413</v>
      </c>
      <c r="F118" s="158" t="s">
        <v>495</v>
      </c>
      <c r="G118" s="169"/>
      <c r="H118" s="20">
        <v>1</v>
      </c>
      <c r="I118" s="21">
        <v>7</v>
      </c>
      <c r="J118" s="21">
        <v>0</v>
      </c>
      <c r="K118" s="21">
        <v>0</v>
      </c>
      <c r="L118" s="21">
        <v>0</v>
      </c>
      <c r="M118" s="21">
        <v>0</v>
      </c>
      <c r="N118" s="21">
        <v>0</v>
      </c>
      <c r="O118" s="21">
        <v>0</v>
      </c>
      <c r="P118" s="21">
        <v>0</v>
      </c>
      <c r="Q118" s="21">
        <v>0</v>
      </c>
      <c r="R118" s="21">
        <v>0</v>
      </c>
      <c r="S118" s="21">
        <v>0</v>
      </c>
      <c r="T118" s="21">
        <v>0</v>
      </c>
      <c r="U118" s="21">
        <v>0</v>
      </c>
      <c r="V118" s="21">
        <v>0</v>
      </c>
      <c r="W118" s="21">
        <v>0</v>
      </c>
      <c r="X118" s="21">
        <v>0</v>
      </c>
      <c r="Y118" s="21">
        <v>0</v>
      </c>
      <c r="Z118" s="21">
        <v>0</v>
      </c>
      <c r="AA118" s="21">
        <v>0</v>
      </c>
      <c r="AB118" s="21">
        <v>0</v>
      </c>
      <c r="AC118" s="21">
        <v>0</v>
      </c>
      <c r="AD118" s="21">
        <v>0</v>
      </c>
      <c r="AE118" s="21">
        <v>0</v>
      </c>
      <c r="AF118" s="21">
        <v>0</v>
      </c>
      <c r="AG118" s="21">
        <v>0</v>
      </c>
      <c r="AH118" s="21">
        <v>0</v>
      </c>
      <c r="AI118" s="21">
        <v>0</v>
      </c>
      <c r="AJ118" s="21">
        <v>0</v>
      </c>
      <c r="AK118" s="21">
        <v>0</v>
      </c>
      <c r="AL118" s="21">
        <v>0</v>
      </c>
      <c r="AM118" s="21">
        <v>0</v>
      </c>
      <c r="AN118" s="21">
        <v>0</v>
      </c>
      <c r="AO118" s="21">
        <v>0</v>
      </c>
      <c r="AP118" s="21">
        <v>0</v>
      </c>
      <c r="AQ118" s="21">
        <v>0</v>
      </c>
      <c r="AR118" s="21">
        <v>0</v>
      </c>
      <c r="AS118" s="21">
        <v>0</v>
      </c>
      <c r="AT118" s="21">
        <v>0</v>
      </c>
      <c r="AU118" s="21">
        <v>0</v>
      </c>
      <c r="AV118" s="21">
        <v>0</v>
      </c>
      <c r="AW118" s="21">
        <v>0</v>
      </c>
      <c r="AX118" s="21">
        <v>0</v>
      </c>
      <c r="AY118" s="21">
        <v>0</v>
      </c>
      <c r="AZ118" s="22">
        <v>0</v>
      </c>
      <c r="BA118" s="22" t="e">
        <f>MAX(#REF!-AZ118,0)</f>
        <v>#REF!</v>
      </c>
      <c r="BB118" s="23" t="e">
        <f>IF(SUMPRODUCT($J$85:BA$85,$J118:BA118)&lt;0.5, "Pending", IF(BA118&lt;0.5, "Complete", "In Progress"))</f>
        <v>#REF!</v>
      </c>
      <c r="BC118" s="22">
        <v>0</v>
      </c>
      <c r="BD118" s="22" t="e">
        <f t="shared" si="9"/>
        <v>#REF!</v>
      </c>
      <c r="BE118" s="23" t="e">
        <f>IF(SUMPRODUCT($J$85:BD$85,$J118:BD118)&lt;0.5, "Pending", IF(BD118&lt;0.5, "Complete", "In Progress"))</f>
        <v>#REF!</v>
      </c>
      <c r="BF118" s="22">
        <v>0</v>
      </c>
      <c r="BG118" s="22" t="e">
        <f t="shared" si="10"/>
        <v>#REF!</v>
      </c>
      <c r="BH118" s="23" t="e">
        <f>IF(SUMPRODUCT($J$85:BG$85,$J118:BG118)&lt;0.5, "Pending", IF(BG118&lt;0.5, "Complete", "In Progress"))</f>
        <v>#REF!</v>
      </c>
      <c r="BI118" s="22">
        <v>0</v>
      </c>
      <c r="BJ118" s="22" t="e">
        <f t="shared" si="11"/>
        <v>#REF!</v>
      </c>
      <c r="BK118" s="23" t="e">
        <f>IF(SUMPRODUCT($J$85:BJ$85,$J118:BJ118)&lt;0.5, "Pending", IF(BJ118&lt;0.5, "Complete", "In Progress"))</f>
        <v>#REF!</v>
      </c>
      <c r="BL118" s="22">
        <v>0</v>
      </c>
      <c r="BM118" s="22" t="e">
        <f t="shared" si="12"/>
        <v>#REF!</v>
      </c>
      <c r="BN118" s="23" t="e">
        <f>IF(SUMPRODUCT($J$85:BM$85,$J118:BM118)&lt;0.5, "Pending", IF(BM118&lt;0.5, "Complete", "In Progress"))</f>
        <v>#REF!</v>
      </c>
      <c r="BO118" s="22">
        <v>0</v>
      </c>
      <c r="BP118" s="22" t="e">
        <f t="shared" si="13"/>
        <v>#REF!</v>
      </c>
      <c r="BQ118" s="23" t="e">
        <f>IF(SUMPRODUCT($J$85:BP$85,$J118:BP118)&lt;0.5, "Pending", IF(BP118&lt;0.5, "Complete", "In Progress"))</f>
        <v>#REF!</v>
      </c>
      <c r="BR118" s="22">
        <v>0</v>
      </c>
      <c r="BS118" s="22" t="e">
        <f t="shared" si="14"/>
        <v>#REF!</v>
      </c>
      <c r="BT118" s="23" t="e">
        <f>IF(SUMPRODUCT($J$85:BS$85,$J118:BS118)&lt;0.5, "Pending", IF(BS118&lt;0.5, "Complete", "In Progress"))</f>
        <v>#REF!</v>
      </c>
      <c r="BU118" s="22">
        <v>0</v>
      </c>
      <c r="BV118" s="22" t="e">
        <f t="shared" si="15"/>
        <v>#REF!</v>
      </c>
      <c r="BW118" s="23" t="e">
        <f>IF(SUMPRODUCT($J$85:BV$85,$J118:BV118)&lt;0.5, "Pending", IF(BV118&lt;0.5, "Complete", "In Progress"))</f>
        <v>#REF!</v>
      </c>
      <c r="BX118" s="22">
        <v>0</v>
      </c>
      <c r="BY118" s="22" t="e">
        <f t="shared" si="16"/>
        <v>#REF!</v>
      </c>
      <c r="BZ118" s="23" t="e">
        <f>IF(SUMPRODUCT($J$85:BY$85,$J118:BY118)&lt;0.5, "Pending", IF(BY118&lt;0.5, "Complete", "In Progress"))</f>
        <v>#REF!</v>
      </c>
      <c r="CA118" s="22">
        <v>0</v>
      </c>
      <c r="CB118" s="22" t="e">
        <f t="shared" si="17"/>
        <v>#REF!</v>
      </c>
      <c r="CC118" s="23" t="e">
        <f>IF(SUMPRODUCT($J$85:CB$85,$J118:CB118)&lt;0.5, "Pending", IF(CB118&lt;0.5, "Complete", "In Progress"))</f>
        <v>#REF!</v>
      </c>
      <c r="CD118" s="24"/>
      <c r="CE118" s="25">
        <f>SUMPRODUCT($H$85:AY$85,$H118:AY118)</f>
        <v>50</v>
      </c>
    </row>
    <row r="119" spans="1:83" ht="13.8" customHeight="1" x14ac:dyDescent="0.25">
      <c r="A119" s="16" t="s">
        <v>104</v>
      </c>
      <c r="B119" s="16" t="s">
        <v>108</v>
      </c>
      <c r="C119" s="16" t="s">
        <v>514</v>
      </c>
      <c r="D119" s="17" t="s">
        <v>231</v>
      </c>
      <c r="E119" s="158" t="s">
        <v>414</v>
      </c>
      <c r="F119" s="158" t="s">
        <v>493</v>
      </c>
      <c r="G119" s="168"/>
      <c r="H119" s="20">
        <v>1</v>
      </c>
      <c r="I119" s="21">
        <v>56</v>
      </c>
      <c r="J119" s="21">
        <v>0</v>
      </c>
      <c r="K119" s="21">
        <v>0</v>
      </c>
      <c r="L119" s="21">
        <v>0</v>
      </c>
      <c r="M119" s="21">
        <v>0</v>
      </c>
      <c r="N119" s="21">
        <v>0</v>
      </c>
      <c r="O119" s="21">
        <v>0</v>
      </c>
      <c r="P119" s="21">
        <v>0</v>
      </c>
      <c r="Q119" s="21">
        <v>0</v>
      </c>
      <c r="R119" s="21">
        <v>0</v>
      </c>
      <c r="S119" s="21">
        <v>0</v>
      </c>
      <c r="T119" s="21">
        <v>0</v>
      </c>
      <c r="U119" s="21">
        <v>0</v>
      </c>
      <c r="V119" s="21">
        <v>0</v>
      </c>
      <c r="W119" s="21">
        <v>0</v>
      </c>
      <c r="X119" s="21">
        <v>0</v>
      </c>
      <c r="Y119" s="21">
        <v>0</v>
      </c>
      <c r="Z119" s="21">
        <v>0</v>
      </c>
      <c r="AA119" s="21">
        <v>0</v>
      </c>
      <c r="AB119" s="21">
        <v>0</v>
      </c>
      <c r="AC119" s="21">
        <v>0</v>
      </c>
      <c r="AD119" s="21">
        <v>0</v>
      </c>
      <c r="AE119" s="21">
        <v>0</v>
      </c>
      <c r="AF119" s="21">
        <v>0</v>
      </c>
      <c r="AG119" s="21">
        <v>0</v>
      </c>
      <c r="AH119" s="21">
        <v>0</v>
      </c>
      <c r="AI119" s="21">
        <v>0</v>
      </c>
      <c r="AJ119" s="21">
        <v>0</v>
      </c>
      <c r="AK119" s="21">
        <v>0</v>
      </c>
      <c r="AL119" s="21">
        <v>0</v>
      </c>
      <c r="AM119" s="21">
        <v>0</v>
      </c>
      <c r="AN119" s="21">
        <v>0</v>
      </c>
      <c r="AO119" s="21">
        <v>0</v>
      </c>
      <c r="AP119" s="21">
        <v>0</v>
      </c>
      <c r="AQ119" s="21">
        <v>0</v>
      </c>
      <c r="AR119" s="21">
        <v>0</v>
      </c>
      <c r="AS119" s="21">
        <v>0</v>
      </c>
      <c r="AT119" s="21">
        <v>0</v>
      </c>
      <c r="AU119" s="21">
        <v>0</v>
      </c>
      <c r="AV119" s="21">
        <v>0</v>
      </c>
      <c r="AW119" s="21">
        <v>0</v>
      </c>
      <c r="AX119" s="21">
        <v>0</v>
      </c>
      <c r="AY119" s="21">
        <v>0</v>
      </c>
      <c r="AZ119" s="22">
        <v>0</v>
      </c>
      <c r="BA119" s="22" t="e">
        <f>MAX(#REF!-AZ119,0)</f>
        <v>#REF!</v>
      </c>
      <c r="BB119" s="23" t="e">
        <f>IF(SUMPRODUCT($J$85:BA$85,$J119:BA119)&lt;0.5, "Pending", IF(BA119&lt;0.5, "Complete", "In Progress"))</f>
        <v>#REF!</v>
      </c>
      <c r="BC119" s="22">
        <v>0</v>
      </c>
      <c r="BD119" s="22" t="e">
        <f t="shared" si="9"/>
        <v>#REF!</v>
      </c>
      <c r="BE119" s="23" t="e">
        <f>IF(SUMPRODUCT($J$85:BD$85,$J119:BD119)&lt;0.5, "Pending", IF(BD119&lt;0.5, "Complete", "In Progress"))</f>
        <v>#REF!</v>
      </c>
      <c r="BF119" s="22">
        <v>0</v>
      </c>
      <c r="BG119" s="22" t="e">
        <f t="shared" si="10"/>
        <v>#REF!</v>
      </c>
      <c r="BH119" s="23" t="e">
        <f>IF(SUMPRODUCT($J$85:BG$85,$J119:BG119)&lt;0.5, "Pending", IF(BG119&lt;0.5, "Complete", "In Progress"))</f>
        <v>#REF!</v>
      </c>
      <c r="BI119" s="22">
        <v>0</v>
      </c>
      <c r="BJ119" s="22" t="e">
        <f t="shared" si="11"/>
        <v>#REF!</v>
      </c>
      <c r="BK119" s="23" t="e">
        <f>IF(SUMPRODUCT($J$85:BJ$85,$J119:BJ119)&lt;0.5, "Pending", IF(BJ119&lt;0.5, "Complete", "In Progress"))</f>
        <v>#REF!</v>
      </c>
      <c r="BL119" s="22">
        <v>0</v>
      </c>
      <c r="BM119" s="22" t="e">
        <f t="shared" si="12"/>
        <v>#REF!</v>
      </c>
      <c r="BN119" s="23" t="e">
        <f>IF(SUMPRODUCT($J$85:BM$85,$J119:BM119)&lt;0.5, "Pending", IF(BM119&lt;0.5, "Complete", "In Progress"))</f>
        <v>#REF!</v>
      </c>
      <c r="BO119" s="22">
        <v>0</v>
      </c>
      <c r="BP119" s="22" t="e">
        <f t="shared" si="13"/>
        <v>#REF!</v>
      </c>
      <c r="BQ119" s="23" t="e">
        <f>IF(SUMPRODUCT($J$85:BP$85,$J119:BP119)&lt;0.5, "Pending", IF(BP119&lt;0.5, "Complete", "In Progress"))</f>
        <v>#REF!</v>
      </c>
      <c r="BR119" s="22">
        <v>0</v>
      </c>
      <c r="BS119" s="22" t="e">
        <f t="shared" si="14"/>
        <v>#REF!</v>
      </c>
      <c r="BT119" s="23" t="e">
        <f>IF(SUMPRODUCT($J$85:BS$85,$J119:BS119)&lt;0.5, "Pending", IF(BS119&lt;0.5, "Complete", "In Progress"))</f>
        <v>#REF!</v>
      </c>
      <c r="BU119" s="22">
        <v>0</v>
      </c>
      <c r="BV119" s="22" t="e">
        <f t="shared" si="15"/>
        <v>#REF!</v>
      </c>
      <c r="BW119" s="23" t="e">
        <f>IF(SUMPRODUCT($J$85:BV$85,$J119:BV119)&lt;0.5, "Pending", IF(BV119&lt;0.5, "Complete", "In Progress"))</f>
        <v>#REF!</v>
      </c>
      <c r="BX119" s="22">
        <v>0</v>
      </c>
      <c r="BY119" s="22" t="e">
        <f t="shared" si="16"/>
        <v>#REF!</v>
      </c>
      <c r="BZ119" s="23" t="e">
        <f>IF(SUMPRODUCT($J$85:BY$85,$J119:BY119)&lt;0.5, "Pending", IF(BY119&lt;0.5, "Complete", "In Progress"))</f>
        <v>#REF!</v>
      </c>
      <c r="CA119" s="22">
        <v>0</v>
      </c>
      <c r="CB119" s="22" t="e">
        <f t="shared" si="17"/>
        <v>#REF!</v>
      </c>
      <c r="CC119" s="23" t="e">
        <f>IF(SUMPRODUCT($J$85:CB$85,$J119:CB119)&lt;0.5, "Pending", IF(CB119&lt;0.5, "Complete", "In Progress"))</f>
        <v>#REF!</v>
      </c>
      <c r="CD119" s="24"/>
      <c r="CE119" s="25">
        <f>SUMPRODUCT($H$85:AY$85,$H119:AY119)</f>
        <v>393</v>
      </c>
    </row>
    <row r="120" spans="1:83" ht="13.8" customHeight="1" x14ac:dyDescent="0.25">
      <c r="A120" s="16" t="s">
        <v>103</v>
      </c>
      <c r="B120" s="16" t="s">
        <v>117</v>
      </c>
      <c r="C120" s="16" t="s">
        <v>514</v>
      </c>
      <c r="D120" s="17" t="s">
        <v>232</v>
      </c>
      <c r="E120" s="158" t="s">
        <v>415</v>
      </c>
      <c r="F120" s="158" t="s">
        <v>494</v>
      </c>
      <c r="G120" s="19"/>
      <c r="H120" s="20">
        <v>1</v>
      </c>
      <c r="I120" s="21">
        <v>7</v>
      </c>
      <c r="J120" s="21">
        <v>0</v>
      </c>
      <c r="K120" s="21">
        <v>0</v>
      </c>
      <c r="L120" s="21">
        <v>0</v>
      </c>
      <c r="M120" s="21">
        <v>0</v>
      </c>
      <c r="N120" s="21">
        <v>0</v>
      </c>
      <c r="O120" s="21">
        <v>0</v>
      </c>
      <c r="P120" s="21">
        <v>0</v>
      </c>
      <c r="Q120" s="21">
        <v>0</v>
      </c>
      <c r="R120" s="21">
        <v>0</v>
      </c>
      <c r="S120" s="21">
        <v>0</v>
      </c>
      <c r="T120" s="21">
        <v>0</v>
      </c>
      <c r="U120" s="21">
        <v>0</v>
      </c>
      <c r="V120" s="21">
        <v>0</v>
      </c>
      <c r="W120" s="21">
        <v>0</v>
      </c>
      <c r="X120" s="21">
        <v>0</v>
      </c>
      <c r="Y120" s="21">
        <v>0</v>
      </c>
      <c r="Z120" s="21">
        <v>0</v>
      </c>
      <c r="AA120" s="21">
        <v>0</v>
      </c>
      <c r="AB120" s="21">
        <v>0</v>
      </c>
      <c r="AC120" s="21">
        <v>0</v>
      </c>
      <c r="AD120" s="21">
        <v>0</v>
      </c>
      <c r="AE120" s="21">
        <v>0</v>
      </c>
      <c r="AF120" s="21">
        <v>0</v>
      </c>
      <c r="AG120" s="21">
        <v>0</v>
      </c>
      <c r="AH120" s="21">
        <v>0</v>
      </c>
      <c r="AI120" s="21">
        <v>0</v>
      </c>
      <c r="AJ120" s="21">
        <v>0</v>
      </c>
      <c r="AK120" s="21">
        <v>0</v>
      </c>
      <c r="AL120" s="21">
        <v>0</v>
      </c>
      <c r="AM120" s="21">
        <v>0</v>
      </c>
      <c r="AN120" s="21">
        <v>0</v>
      </c>
      <c r="AO120" s="21">
        <v>0</v>
      </c>
      <c r="AP120" s="21">
        <v>0</v>
      </c>
      <c r="AQ120" s="21">
        <v>0</v>
      </c>
      <c r="AR120" s="21">
        <v>0</v>
      </c>
      <c r="AS120" s="21">
        <v>0</v>
      </c>
      <c r="AT120" s="21">
        <v>0</v>
      </c>
      <c r="AU120" s="21">
        <v>0</v>
      </c>
      <c r="AV120" s="21">
        <v>0</v>
      </c>
      <c r="AW120" s="21">
        <v>0</v>
      </c>
      <c r="AX120" s="21">
        <v>0</v>
      </c>
      <c r="AY120" s="21">
        <v>0</v>
      </c>
      <c r="AZ120" s="22">
        <v>0</v>
      </c>
      <c r="BA120" s="22" t="e">
        <f>MAX(#REF!-AZ120,0)</f>
        <v>#REF!</v>
      </c>
      <c r="BB120" s="23" t="e">
        <f>IF(SUMPRODUCT($J$85:BA$85,$J120:BA120)&lt;0.5, "Pending", IF(BA120&lt;0.5, "Complete", "In Progress"))</f>
        <v>#REF!</v>
      </c>
      <c r="BC120" s="22">
        <v>0</v>
      </c>
      <c r="BD120" s="22" t="e">
        <f t="shared" si="9"/>
        <v>#REF!</v>
      </c>
      <c r="BE120" s="23" t="e">
        <f>IF(SUMPRODUCT($J$85:BD$85,$J120:BD120)&lt;0.5, "Pending", IF(BD120&lt;0.5, "Complete", "In Progress"))</f>
        <v>#REF!</v>
      </c>
      <c r="BF120" s="22">
        <v>0</v>
      </c>
      <c r="BG120" s="22" t="e">
        <f t="shared" si="10"/>
        <v>#REF!</v>
      </c>
      <c r="BH120" s="23" t="e">
        <f>IF(SUMPRODUCT($J$85:BG$85,$J120:BG120)&lt;0.5, "Pending", IF(BG120&lt;0.5, "Complete", "In Progress"))</f>
        <v>#REF!</v>
      </c>
      <c r="BI120" s="22">
        <v>0</v>
      </c>
      <c r="BJ120" s="22" t="e">
        <f t="shared" si="11"/>
        <v>#REF!</v>
      </c>
      <c r="BK120" s="23" t="e">
        <f>IF(SUMPRODUCT($J$85:BJ$85,$J120:BJ120)&lt;0.5, "Pending", IF(BJ120&lt;0.5, "Complete", "In Progress"))</f>
        <v>#REF!</v>
      </c>
      <c r="BL120" s="22">
        <v>0</v>
      </c>
      <c r="BM120" s="22" t="e">
        <f t="shared" si="12"/>
        <v>#REF!</v>
      </c>
      <c r="BN120" s="23" t="e">
        <f>IF(SUMPRODUCT($J$85:BM$85,$J120:BM120)&lt;0.5, "Pending", IF(BM120&lt;0.5, "Complete", "In Progress"))</f>
        <v>#REF!</v>
      </c>
      <c r="BO120" s="22">
        <v>0</v>
      </c>
      <c r="BP120" s="22" t="e">
        <f t="shared" si="13"/>
        <v>#REF!</v>
      </c>
      <c r="BQ120" s="23" t="e">
        <f>IF(SUMPRODUCT($J$85:BP$85,$J120:BP120)&lt;0.5, "Pending", IF(BP120&lt;0.5, "Complete", "In Progress"))</f>
        <v>#REF!</v>
      </c>
      <c r="BR120" s="22">
        <v>0</v>
      </c>
      <c r="BS120" s="22" t="e">
        <f t="shared" si="14"/>
        <v>#REF!</v>
      </c>
      <c r="BT120" s="23" t="e">
        <f>IF(SUMPRODUCT($J$85:BS$85,$J120:BS120)&lt;0.5, "Pending", IF(BS120&lt;0.5, "Complete", "In Progress"))</f>
        <v>#REF!</v>
      </c>
      <c r="BU120" s="22">
        <v>0</v>
      </c>
      <c r="BV120" s="22" t="e">
        <f t="shared" si="15"/>
        <v>#REF!</v>
      </c>
      <c r="BW120" s="23" t="e">
        <f>IF(SUMPRODUCT($J$85:BV$85,$J120:BV120)&lt;0.5, "Pending", IF(BV120&lt;0.5, "Complete", "In Progress"))</f>
        <v>#REF!</v>
      </c>
      <c r="BX120" s="22">
        <v>0</v>
      </c>
      <c r="BY120" s="22" t="e">
        <f t="shared" si="16"/>
        <v>#REF!</v>
      </c>
      <c r="BZ120" s="23" t="e">
        <f>IF(SUMPRODUCT($J$85:BY$85,$J120:BY120)&lt;0.5, "Pending", IF(BY120&lt;0.5, "Complete", "In Progress"))</f>
        <v>#REF!</v>
      </c>
      <c r="CA120" s="22">
        <v>0</v>
      </c>
      <c r="CB120" s="22" t="e">
        <f t="shared" si="17"/>
        <v>#REF!</v>
      </c>
      <c r="CC120" s="23" t="e">
        <f>IF(SUMPRODUCT($J$85:CB$85,$J120:CB120)&lt;0.5, "Pending", IF(CB120&lt;0.5, "Complete", "In Progress"))</f>
        <v>#REF!</v>
      </c>
      <c r="CD120" s="24"/>
      <c r="CE120" s="25">
        <f>SUMPRODUCT($H$85:AY$85,$H120:AY120)</f>
        <v>50</v>
      </c>
    </row>
    <row r="121" spans="1:83" ht="13.8" customHeight="1" x14ac:dyDescent="0.25">
      <c r="A121" s="16" t="s">
        <v>104</v>
      </c>
      <c r="B121" s="16" t="s">
        <v>112</v>
      </c>
      <c r="C121" s="16" t="s">
        <v>514</v>
      </c>
      <c r="D121" s="17" t="s">
        <v>233</v>
      </c>
      <c r="E121" s="158" t="s">
        <v>416</v>
      </c>
      <c r="F121" s="158" t="s">
        <v>497</v>
      </c>
      <c r="G121" s="19"/>
      <c r="H121" s="20">
        <v>1</v>
      </c>
      <c r="I121" s="21">
        <v>7</v>
      </c>
      <c r="J121" s="21">
        <v>0</v>
      </c>
      <c r="K121" s="21">
        <v>0</v>
      </c>
      <c r="L121" s="21">
        <v>0</v>
      </c>
      <c r="M121" s="21">
        <v>0</v>
      </c>
      <c r="N121" s="21">
        <v>0</v>
      </c>
      <c r="O121" s="21">
        <v>0</v>
      </c>
      <c r="P121" s="21">
        <v>0</v>
      </c>
      <c r="Q121" s="21">
        <v>0</v>
      </c>
      <c r="R121" s="21">
        <v>0</v>
      </c>
      <c r="S121" s="21">
        <v>0</v>
      </c>
      <c r="T121" s="21">
        <v>0</v>
      </c>
      <c r="U121" s="21">
        <v>0</v>
      </c>
      <c r="V121" s="21">
        <v>0</v>
      </c>
      <c r="W121" s="21">
        <v>0</v>
      </c>
      <c r="X121" s="21">
        <v>0</v>
      </c>
      <c r="Y121" s="21">
        <v>0</v>
      </c>
      <c r="Z121" s="21">
        <v>0</v>
      </c>
      <c r="AA121" s="21">
        <v>0</v>
      </c>
      <c r="AB121" s="21">
        <v>0</v>
      </c>
      <c r="AC121" s="21">
        <v>0</v>
      </c>
      <c r="AD121" s="21">
        <v>0</v>
      </c>
      <c r="AE121" s="21">
        <v>0</v>
      </c>
      <c r="AF121" s="21">
        <v>0</v>
      </c>
      <c r="AG121" s="21">
        <v>0</v>
      </c>
      <c r="AH121" s="21">
        <v>0</v>
      </c>
      <c r="AI121" s="21">
        <v>0</v>
      </c>
      <c r="AJ121" s="21">
        <v>0</v>
      </c>
      <c r="AK121" s="21">
        <v>0</v>
      </c>
      <c r="AL121" s="21">
        <v>0</v>
      </c>
      <c r="AM121" s="21">
        <v>0</v>
      </c>
      <c r="AN121" s="21">
        <v>0</v>
      </c>
      <c r="AO121" s="21">
        <v>0</v>
      </c>
      <c r="AP121" s="21">
        <v>0</v>
      </c>
      <c r="AQ121" s="21">
        <v>0</v>
      </c>
      <c r="AR121" s="21">
        <v>0</v>
      </c>
      <c r="AS121" s="21">
        <v>0</v>
      </c>
      <c r="AT121" s="21">
        <v>0</v>
      </c>
      <c r="AU121" s="21">
        <v>0</v>
      </c>
      <c r="AV121" s="21">
        <v>0</v>
      </c>
      <c r="AW121" s="21">
        <v>0</v>
      </c>
      <c r="AX121" s="21">
        <v>0</v>
      </c>
      <c r="AY121" s="21">
        <v>0</v>
      </c>
      <c r="AZ121" s="22">
        <v>0</v>
      </c>
      <c r="BA121" s="22" t="e">
        <f>MAX(#REF!-AZ121,0)</f>
        <v>#REF!</v>
      </c>
      <c r="BB121" s="23" t="e">
        <f>IF(SUMPRODUCT($J$85:BA$85,$J121:BA121)&lt;0.5, "Pending", IF(BA121&lt;0.5, "Complete", "In Progress"))</f>
        <v>#REF!</v>
      </c>
      <c r="BC121" s="22">
        <v>0</v>
      </c>
      <c r="BD121" s="22" t="e">
        <f t="shared" si="9"/>
        <v>#REF!</v>
      </c>
      <c r="BE121" s="23" t="e">
        <f>IF(SUMPRODUCT($J$85:BD$85,$J121:BD121)&lt;0.5, "Pending", IF(BD121&lt;0.5, "Complete", "In Progress"))</f>
        <v>#REF!</v>
      </c>
      <c r="BF121" s="22">
        <v>0</v>
      </c>
      <c r="BG121" s="22" t="e">
        <f t="shared" si="10"/>
        <v>#REF!</v>
      </c>
      <c r="BH121" s="23" t="e">
        <f>IF(SUMPRODUCT($J$85:BG$85,$J121:BG121)&lt;0.5, "Pending", IF(BG121&lt;0.5, "Complete", "In Progress"))</f>
        <v>#REF!</v>
      </c>
      <c r="BI121" s="22">
        <v>0</v>
      </c>
      <c r="BJ121" s="22" t="e">
        <f t="shared" si="11"/>
        <v>#REF!</v>
      </c>
      <c r="BK121" s="23" t="e">
        <f>IF(SUMPRODUCT($J$85:BJ$85,$J121:BJ121)&lt;0.5, "Pending", IF(BJ121&lt;0.5, "Complete", "In Progress"))</f>
        <v>#REF!</v>
      </c>
      <c r="BL121" s="22">
        <v>0</v>
      </c>
      <c r="BM121" s="22" t="e">
        <f t="shared" si="12"/>
        <v>#REF!</v>
      </c>
      <c r="BN121" s="23" t="e">
        <f>IF(SUMPRODUCT($J$85:BM$85,$J121:BM121)&lt;0.5, "Pending", IF(BM121&lt;0.5, "Complete", "In Progress"))</f>
        <v>#REF!</v>
      </c>
      <c r="BO121" s="22">
        <v>0</v>
      </c>
      <c r="BP121" s="22" t="e">
        <f t="shared" si="13"/>
        <v>#REF!</v>
      </c>
      <c r="BQ121" s="23" t="e">
        <f>IF(SUMPRODUCT($J$85:BP$85,$J121:BP121)&lt;0.5, "Pending", IF(BP121&lt;0.5, "Complete", "In Progress"))</f>
        <v>#REF!</v>
      </c>
      <c r="BR121" s="22">
        <v>0</v>
      </c>
      <c r="BS121" s="22" t="e">
        <f t="shared" si="14"/>
        <v>#REF!</v>
      </c>
      <c r="BT121" s="23" t="e">
        <f>IF(SUMPRODUCT($J$85:BS$85,$J121:BS121)&lt;0.5, "Pending", IF(BS121&lt;0.5, "Complete", "In Progress"))</f>
        <v>#REF!</v>
      </c>
      <c r="BU121" s="22">
        <v>0</v>
      </c>
      <c r="BV121" s="22" t="e">
        <f t="shared" si="15"/>
        <v>#REF!</v>
      </c>
      <c r="BW121" s="23" t="e">
        <f>IF(SUMPRODUCT($J$85:BV$85,$J121:BV121)&lt;0.5, "Pending", IF(BV121&lt;0.5, "Complete", "In Progress"))</f>
        <v>#REF!</v>
      </c>
      <c r="BX121" s="22">
        <v>0</v>
      </c>
      <c r="BY121" s="22" t="e">
        <f t="shared" si="16"/>
        <v>#REF!</v>
      </c>
      <c r="BZ121" s="23" t="e">
        <f>IF(SUMPRODUCT($J$85:BY$85,$J121:BY121)&lt;0.5, "Pending", IF(BY121&lt;0.5, "Complete", "In Progress"))</f>
        <v>#REF!</v>
      </c>
      <c r="CA121" s="22">
        <v>0</v>
      </c>
      <c r="CB121" s="22" t="e">
        <f t="shared" si="17"/>
        <v>#REF!</v>
      </c>
      <c r="CC121" s="23" t="e">
        <f>IF(SUMPRODUCT($J$85:CB$85,$J121:CB121)&lt;0.5, "Pending", IF(CB121&lt;0.5, "Complete", "In Progress"))</f>
        <v>#REF!</v>
      </c>
      <c r="CD121" s="24"/>
      <c r="CE121" s="25">
        <f>SUMPRODUCT($H$85:AY$85,$H121:AY121)</f>
        <v>50</v>
      </c>
    </row>
    <row r="122" spans="1:83" ht="13.8" customHeight="1" x14ac:dyDescent="0.25">
      <c r="A122" s="16" t="s">
        <v>104</v>
      </c>
      <c r="B122" s="16" t="s">
        <v>121</v>
      </c>
      <c r="C122" s="16" t="s">
        <v>514</v>
      </c>
      <c r="D122" s="17" t="s">
        <v>234</v>
      </c>
      <c r="E122" s="158" t="s">
        <v>417</v>
      </c>
      <c r="F122" s="158" t="s">
        <v>498</v>
      </c>
      <c r="G122" s="19"/>
      <c r="H122" s="20">
        <v>1</v>
      </c>
      <c r="I122" s="21">
        <v>7</v>
      </c>
      <c r="J122" s="21">
        <v>0</v>
      </c>
      <c r="K122" s="21">
        <v>0</v>
      </c>
      <c r="L122" s="21">
        <v>0</v>
      </c>
      <c r="M122" s="21">
        <v>0</v>
      </c>
      <c r="N122" s="21">
        <v>0</v>
      </c>
      <c r="O122" s="21">
        <v>0</v>
      </c>
      <c r="P122" s="21">
        <v>0</v>
      </c>
      <c r="Q122" s="21">
        <v>0</v>
      </c>
      <c r="R122" s="21">
        <v>0</v>
      </c>
      <c r="S122" s="21">
        <v>0</v>
      </c>
      <c r="T122" s="21">
        <v>0</v>
      </c>
      <c r="U122" s="21">
        <v>0</v>
      </c>
      <c r="V122" s="21">
        <v>0</v>
      </c>
      <c r="W122" s="21">
        <v>0</v>
      </c>
      <c r="X122" s="21">
        <v>0</v>
      </c>
      <c r="Y122" s="21">
        <v>0</v>
      </c>
      <c r="Z122" s="21">
        <v>0</v>
      </c>
      <c r="AA122" s="21">
        <v>0</v>
      </c>
      <c r="AB122" s="21">
        <v>0</v>
      </c>
      <c r="AC122" s="21">
        <v>0</v>
      </c>
      <c r="AD122" s="21">
        <v>0</v>
      </c>
      <c r="AE122" s="21">
        <v>0</v>
      </c>
      <c r="AF122" s="21">
        <v>0</v>
      </c>
      <c r="AG122" s="21">
        <v>0</v>
      </c>
      <c r="AH122" s="21">
        <v>0</v>
      </c>
      <c r="AI122" s="21">
        <v>0</v>
      </c>
      <c r="AJ122" s="21">
        <v>0</v>
      </c>
      <c r="AK122" s="21">
        <v>0</v>
      </c>
      <c r="AL122" s="21">
        <v>0</v>
      </c>
      <c r="AM122" s="21">
        <v>0</v>
      </c>
      <c r="AN122" s="21">
        <v>0</v>
      </c>
      <c r="AO122" s="21">
        <v>0</v>
      </c>
      <c r="AP122" s="21">
        <v>0</v>
      </c>
      <c r="AQ122" s="21">
        <v>0</v>
      </c>
      <c r="AR122" s="21">
        <v>0</v>
      </c>
      <c r="AS122" s="21">
        <v>0</v>
      </c>
      <c r="AT122" s="21">
        <v>0</v>
      </c>
      <c r="AU122" s="21">
        <v>0</v>
      </c>
      <c r="AV122" s="21">
        <v>0</v>
      </c>
      <c r="AW122" s="21">
        <v>0</v>
      </c>
      <c r="AX122" s="21">
        <v>0</v>
      </c>
      <c r="AY122" s="21">
        <v>0</v>
      </c>
      <c r="AZ122" s="22">
        <v>0</v>
      </c>
      <c r="BA122" s="22" t="e">
        <f>MAX(#REF!-AZ122,0)</f>
        <v>#REF!</v>
      </c>
      <c r="BB122" s="23" t="e">
        <f>IF(SUMPRODUCT($J$85:BA$85,$J122:BA122)&lt;0.5, "Pending", IF(BA122&lt;0.5, "Complete", "In Progress"))</f>
        <v>#REF!</v>
      </c>
      <c r="BC122" s="22">
        <v>0</v>
      </c>
      <c r="BD122" s="22" t="e">
        <f t="shared" si="9"/>
        <v>#REF!</v>
      </c>
      <c r="BE122" s="23" t="e">
        <f>IF(SUMPRODUCT($J$85:BD$85,$J122:BD122)&lt;0.5, "Pending", IF(BD122&lt;0.5, "Complete", "In Progress"))</f>
        <v>#REF!</v>
      </c>
      <c r="BF122" s="22">
        <v>0</v>
      </c>
      <c r="BG122" s="22" t="e">
        <f t="shared" si="10"/>
        <v>#REF!</v>
      </c>
      <c r="BH122" s="23" t="e">
        <f>IF(SUMPRODUCT($J$85:BG$85,$J122:BG122)&lt;0.5, "Pending", IF(BG122&lt;0.5, "Complete", "In Progress"))</f>
        <v>#REF!</v>
      </c>
      <c r="BI122" s="22">
        <v>0</v>
      </c>
      <c r="BJ122" s="22" t="e">
        <f t="shared" si="11"/>
        <v>#REF!</v>
      </c>
      <c r="BK122" s="23" t="e">
        <f>IF(SUMPRODUCT($J$85:BJ$85,$J122:BJ122)&lt;0.5, "Pending", IF(BJ122&lt;0.5, "Complete", "In Progress"))</f>
        <v>#REF!</v>
      </c>
      <c r="BL122" s="22">
        <v>0</v>
      </c>
      <c r="BM122" s="22" t="e">
        <f t="shared" si="12"/>
        <v>#REF!</v>
      </c>
      <c r="BN122" s="23" t="e">
        <f>IF(SUMPRODUCT($J$85:BM$85,$J122:BM122)&lt;0.5, "Pending", IF(BM122&lt;0.5, "Complete", "In Progress"))</f>
        <v>#REF!</v>
      </c>
      <c r="BO122" s="22">
        <v>0</v>
      </c>
      <c r="BP122" s="22" t="e">
        <f t="shared" si="13"/>
        <v>#REF!</v>
      </c>
      <c r="BQ122" s="23" t="e">
        <f>IF(SUMPRODUCT($J$85:BP$85,$J122:BP122)&lt;0.5, "Pending", IF(BP122&lt;0.5, "Complete", "In Progress"))</f>
        <v>#REF!</v>
      </c>
      <c r="BR122" s="22">
        <v>0</v>
      </c>
      <c r="BS122" s="22" t="e">
        <f t="shared" si="14"/>
        <v>#REF!</v>
      </c>
      <c r="BT122" s="23" t="e">
        <f>IF(SUMPRODUCT($J$85:BS$85,$J122:BS122)&lt;0.5, "Pending", IF(BS122&lt;0.5, "Complete", "In Progress"))</f>
        <v>#REF!</v>
      </c>
      <c r="BU122" s="22">
        <v>0</v>
      </c>
      <c r="BV122" s="22" t="e">
        <f t="shared" si="15"/>
        <v>#REF!</v>
      </c>
      <c r="BW122" s="23" t="e">
        <f>IF(SUMPRODUCT($J$85:BV$85,$J122:BV122)&lt;0.5, "Pending", IF(BV122&lt;0.5, "Complete", "In Progress"))</f>
        <v>#REF!</v>
      </c>
      <c r="BX122" s="22">
        <v>0</v>
      </c>
      <c r="BY122" s="22" t="e">
        <f t="shared" si="16"/>
        <v>#REF!</v>
      </c>
      <c r="BZ122" s="23" t="e">
        <f>IF(SUMPRODUCT($J$85:BY$85,$J122:BY122)&lt;0.5, "Pending", IF(BY122&lt;0.5, "Complete", "In Progress"))</f>
        <v>#REF!</v>
      </c>
      <c r="CA122" s="22">
        <v>0</v>
      </c>
      <c r="CB122" s="22" t="e">
        <f t="shared" si="17"/>
        <v>#REF!</v>
      </c>
      <c r="CC122" s="23" t="e">
        <f>IF(SUMPRODUCT($J$85:CB$85,$J122:CB122)&lt;0.5, "Pending", IF(CB122&lt;0.5, "Complete", "In Progress"))</f>
        <v>#REF!</v>
      </c>
      <c r="CD122" s="24"/>
      <c r="CE122" s="25">
        <f>SUMPRODUCT($H$85:AY$85,$H122:AY122)</f>
        <v>50</v>
      </c>
    </row>
    <row r="123" spans="1:83" ht="13.8" customHeight="1" x14ac:dyDescent="0.25">
      <c r="A123" s="16" t="s">
        <v>104</v>
      </c>
      <c r="B123" s="16" t="s">
        <v>121</v>
      </c>
      <c r="C123" s="16" t="s">
        <v>514</v>
      </c>
      <c r="D123" s="17" t="s">
        <v>235</v>
      </c>
      <c r="E123" s="158" t="s">
        <v>418</v>
      </c>
      <c r="F123" s="158" t="s">
        <v>496</v>
      </c>
      <c r="G123" s="19"/>
      <c r="H123" s="20">
        <v>1</v>
      </c>
      <c r="I123" s="21">
        <v>7</v>
      </c>
      <c r="J123" s="21">
        <v>0</v>
      </c>
      <c r="K123" s="21">
        <v>0</v>
      </c>
      <c r="L123" s="21">
        <v>0</v>
      </c>
      <c r="M123" s="21">
        <v>0</v>
      </c>
      <c r="N123" s="21">
        <v>0</v>
      </c>
      <c r="O123" s="21">
        <v>0</v>
      </c>
      <c r="P123" s="21">
        <v>0</v>
      </c>
      <c r="Q123" s="21">
        <v>0</v>
      </c>
      <c r="R123" s="21">
        <v>0</v>
      </c>
      <c r="S123" s="21">
        <v>0</v>
      </c>
      <c r="T123" s="21">
        <v>0</v>
      </c>
      <c r="U123" s="21">
        <v>0</v>
      </c>
      <c r="V123" s="21">
        <v>0</v>
      </c>
      <c r="W123" s="21">
        <v>0</v>
      </c>
      <c r="X123" s="21">
        <v>0</v>
      </c>
      <c r="Y123" s="21">
        <v>0</v>
      </c>
      <c r="Z123" s="21">
        <v>0</v>
      </c>
      <c r="AA123" s="21">
        <v>0</v>
      </c>
      <c r="AB123" s="21">
        <v>0</v>
      </c>
      <c r="AC123" s="21">
        <v>0</v>
      </c>
      <c r="AD123" s="21">
        <v>0</v>
      </c>
      <c r="AE123" s="21">
        <v>0</v>
      </c>
      <c r="AF123" s="21">
        <v>0</v>
      </c>
      <c r="AG123" s="21">
        <v>0</v>
      </c>
      <c r="AH123" s="21">
        <v>0</v>
      </c>
      <c r="AI123" s="21">
        <v>0</v>
      </c>
      <c r="AJ123" s="21">
        <v>0</v>
      </c>
      <c r="AK123" s="21">
        <v>0</v>
      </c>
      <c r="AL123" s="21">
        <v>0</v>
      </c>
      <c r="AM123" s="21">
        <v>0</v>
      </c>
      <c r="AN123" s="21">
        <v>0</v>
      </c>
      <c r="AO123" s="21">
        <v>0</v>
      </c>
      <c r="AP123" s="21">
        <v>0</v>
      </c>
      <c r="AQ123" s="21">
        <v>0</v>
      </c>
      <c r="AR123" s="21">
        <v>0</v>
      </c>
      <c r="AS123" s="21">
        <v>0</v>
      </c>
      <c r="AT123" s="21">
        <v>0</v>
      </c>
      <c r="AU123" s="21">
        <v>0</v>
      </c>
      <c r="AV123" s="21">
        <v>0</v>
      </c>
      <c r="AW123" s="21">
        <v>0</v>
      </c>
      <c r="AX123" s="21">
        <v>0</v>
      </c>
      <c r="AY123" s="21">
        <v>0</v>
      </c>
      <c r="AZ123" s="22">
        <v>0</v>
      </c>
      <c r="BA123" s="22" t="e">
        <f>MAX(#REF!-AZ123,0)</f>
        <v>#REF!</v>
      </c>
      <c r="BB123" s="23" t="e">
        <f>IF(SUMPRODUCT($J$85:BA$85,$J123:BA123)&lt;0.5, "Pending", IF(BA123&lt;0.5, "Complete", "In Progress"))</f>
        <v>#REF!</v>
      </c>
      <c r="BC123" s="22">
        <v>0</v>
      </c>
      <c r="BD123" s="22" t="e">
        <f t="shared" si="9"/>
        <v>#REF!</v>
      </c>
      <c r="BE123" s="23" t="e">
        <f>IF(SUMPRODUCT($J$85:BD$85,$J123:BD123)&lt;0.5, "Pending", IF(BD123&lt;0.5, "Complete", "In Progress"))</f>
        <v>#REF!</v>
      </c>
      <c r="BF123" s="22">
        <v>0</v>
      </c>
      <c r="BG123" s="22" t="e">
        <f t="shared" si="10"/>
        <v>#REF!</v>
      </c>
      <c r="BH123" s="23" t="e">
        <f>IF(SUMPRODUCT($J$85:BG$85,$J123:BG123)&lt;0.5, "Pending", IF(BG123&lt;0.5, "Complete", "In Progress"))</f>
        <v>#REF!</v>
      </c>
      <c r="BI123" s="22">
        <v>0</v>
      </c>
      <c r="BJ123" s="22" t="e">
        <f t="shared" si="11"/>
        <v>#REF!</v>
      </c>
      <c r="BK123" s="23" t="e">
        <f>IF(SUMPRODUCT($J$85:BJ$85,$J123:BJ123)&lt;0.5, "Pending", IF(BJ123&lt;0.5, "Complete", "In Progress"))</f>
        <v>#REF!</v>
      </c>
      <c r="BL123" s="22">
        <v>0</v>
      </c>
      <c r="BM123" s="22" t="e">
        <f t="shared" si="12"/>
        <v>#REF!</v>
      </c>
      <c r="BN123" s="23" t="e">
        <f>IF(SUMPRODUCT($J$85:BM$85,$J123:BM123)&lt;0.5, "Pending", IF(BM123&lt;0.5, "Complete", "In Progress"))</f>
        <v>#REF!</v>
      </c>
      <c r="BO123" s="22">
        <v>0</v>
      </c>
      <c r="BP123" s="22" t="e">
        <f t="shared" si="13"/>
        <v>#REF!</v>
      </c>
      <c r="BQ123" s="23" t="e">
        <f>IF(SUMPRODUCT($J$85:BP$85,$J123:BP123)&lt;0.5, "Pending", IF(BP123&lt;0.5, "Complete", "In Progress"))</f>
        <v>#REF!</v>
      </c>
      <c r="BR123" s="22">
        <v>0</v>
      </c>
      <c r="BS123" s="22" t="e">
        <f t="shared" si="14"/>
        <v>#REF!</v>
      </c>
      <c r="BT123" s="23" t="e">
        <f>IF(SUMPRODUCT($J$85:BS$85,$J123:BS123)&lt;0.5, "Pending", IF(BS123&lt;0.5, "Complete", "In Progress"))</f>
        <v>#REF!</v>
      </c>
      <c r="BU123" s="22">
        <v>0</v>
      </c>
      <c r="BV123" s="22" t="e">
        <f t="shared" si="15"/>
        <v>#REF!</v>
      </c>
      <c r="BW123" s="23" t="e">
        <f>IF(SUMPRODUCT($J$85:BV$85,$J123:BV123)&lt;0.5, "Pending", IF(BV123&lt;0.5, "Complete", "In Progress"))</f>
        <v>#REF!</v>
      </c>
      <c r="BX123" s="22">
        <v>0</v>
      </c>
      <c r="BY123" s="22" t="e">
        <f t="shared" si="16"/>
        <v>#REF!</v>
      </c>
      <c r="BZ123" s="23" t="e">
        <f>IF(SUMPRODUCT($J$85:BY$85,$J123:BY123)&lt;0.5, "Pending", IF(BY123&lt;0.5, "Complete", "In Progress"))</f>
        <v>#REF!</v>
      </c>
      <c r="CA123" s="22">
        <v>0</v>
      </c>
      <c r="CB123" s="22" t="e">
        <f t="shared" si="17"/>
        <v>#REF!</v>
      </c>
      <c r="CC123" s="23" t="e">
        <f>IF(SUMPRODUCT($J$85:CB$85,$J123:CB123)&lt;0.5, "Pending", IF(CB123&lt;0.5, "Complete", "In Progress"))</f>
        <v>#REF!</v>
      </c>
      <c r="CD123" s="24"/>
      <c r="CE123" s="25">
        <f>SUMPRODUCT($H$85:AY$85,$H123:AY123)</f>
        <v>50</v>
      </c>
    </row>
    <row r="124" spans="1:83" ht="13.8" customHeight="1" x14ac:dyDescent="0.25">
      <c r="A124" s="16" t="s">
        <v>103</v>
      </c>
      <c r="B124" s="16" t="s">
        <v>110</v>
      </c>
      <c r="C124" s="16" t="s">
        <v>514</v>
      </c>
      <c r="D124" s="17" t="s">
        <v>236</v>
      </c>
      <c r="E124" s="158" t="s">
        <v>419</v>
      </c>
      <c r="F124" s="158" t="s">
        <v>495</v>
      </c>
      <c r="G124" s="169"/>
      <c r="H124" s="20">
        <v>1</v>
      </c>
      <c r="I124" s="21">
        <v>7</v>
      </c>
      <c r="J124" s="21">
        <v>0</v>
      </c>
      <c r="K124" s="21">
        <v>0</v>
      </c>
      <c r="L124" s="21">
        <v>0</v>
      </c>
      <c r="M124" s="21">
        <v>0</v>
      </c>
      <c r="N124" s="21">
        <v>0</v>
      </c>
      <c r="O124" s="21">
        <v>0</v>
      </c>
      <c r="P124" s="21">
        <v>0</v>
      </c>
      <c r="Q124" s="21">
        <v>0</v>
      </c>
      <c r="R124" s="21">
        <v>0</v>
      </c>
      <c r="S124" s="21">
        <v>0</v>
      </c>
      <c r="T124" s="21">
        <v>0</v>
      </c>
      <c r="U124" s="21">
        <v>0</v>
      </c>
      <c r="V124" s="21">
        <v>0</v>
      </c>
      <c r="W124" s="21">
        <v>0</v>
      </c>
      <c r="X124" s="21">
        <v>0</v>
      </c>
      <c r="Y124" s="21">
        <v>0</v>
      </c>
      <c r="Z124" s="21">
        <v>0</v>
      </c>
      <c r="AA124" s="21">
        <v>0</v>
      </c>
      <c r="AB124" s="21">
        <v>0</v>
      </c>
      <c r="AC124" s="21">
        <v>0</v>
      </c>
      <c r="AD124" s="21">
        <v>0</v>
      </c>
      <c r="AE124" s="21">
        <v>0</v>
      </c>
      <c r="AF124" s="21">
        <v>0</v>
      </c>
      <c r="AG124" s="21">
        <v>0</v>
      </c>
      <c r="AH124" s="21">
        <v>0</v>
      </c>
      <c r="AI124" s="21">
        <v>0</v>
      </c>
      <c r="AJ124" s="21">
        <v>0</v>
      </c>
      <c r="AK124" s="21">
        <v>0</v>
      </c>
      <c r="AL124" s="21">
        <v>0</v>
      </c>
      <c r="AM124" s="21">
        <v>0</v>
      </c>
      <c r="AN124" s="21">
        <v>0</v>
      </c>
      <c r="AO124" s="21">
        <v>0</v>
      </c>
      <c r="AP124" s="21">
        <v>0</v>
      </c>
      <c r="AQ124" s="21">
        <v>0</v>
      </c>
      <c r="AR124" s="21">
        <v>0</v>
      </c>
      <c r="AS124" s="21">
        <v>0</v>
      </c>
      <c r="AT124" s="21">
        <v>0</v>
      </c>
      <c r="AU124" s="21">
        <v>0</v>
      </c>
      <c r="AV124" s="21">
        <v>0</v>
      </c>
      <c r="AW124" s="21">
        <v>0</v>
      </c>
      <c r="AX124" s="21">
        <v>0</v>
      </c>
      <c r="AY124" s="21">
        <v>0</v>
      </c>
      <c r="AZ124" s="22">
        <v>0</v>
      </c>
      <c r="BA124" s="22" t="e">
        <f>MAX(#REF!-AZ124,0)</f>
        <v>#REF!</v>
      </c>
      <c r="BB124" s="23" t="e">
        <f>IF(SUMPRODUCT($J$85:BA$85,$J124:BA124)&lt;0.5, "Pending", IF(BA124&lt;0.5, "Complete", "In Progress"))</f>
        <v>#REF!</v>
      </c>
      <c r="BC124" s="22">
        <v>0</v>
      </c>
      <c r="BD124" s="22" t="e">
        <f t="shared" si="9"/>
        <v>#REF!</v>
      </c>
      <c r="BE124" s="23" t="e">
        <f>IF(SUMPRODUCT($J$85:BD$85,$J124:BD124)&lt;0.5, "Pending", IF(BD124&lt;0.5, "Complete", "In Progress"))</f>
        <v>#REF!</v>
      </c>
      <c r="BF124" s="22">
        <v>0</v>
      </c>
      <c r="BG124" s="22" t="e">
        <f t="shared" si="10"/>
        <v>#REF!</v>
      </c>
      <c r="BH124" s="23" t="e">
        <f>IF(SUMPRODUCT($J$85:BG$85,$J124:BG124)&lt;0.5, "Pending", IF(BG124&lt;0.5, "Complete", "In Progress"))</f>
        <v>#REF!</v>
      </c>
      <c r="BI124" s="22">
        <v>0</v>
      </c>
      <c r="BJ124" s="22" t="e">
        <f t="shared" si="11"/>
        <v>#REF!</v>
      </c>
      <c r="BK124" s="23" t="e">
        <f>IF(SUMPRODUCT($J$85:BJ$85,$J124:BJ124)&lt;0.5, "Pending", IF(BJ124&lt;0.5, "Complete", "In Progress"))</f>
        <v>#REF!</v>
      </c>
      <c r="BL124" s="22">
        <v>0</v>
      </c>
      <c r="BM124" s="22" t="e">
        <f t="shared" si="12"/>
        <v>#REF!</v>
      </c>
      <c r="BN124" s="23" t="e">
        <f>IF(SUMPRODUCT($J$85:BM$85,$J124:BM124)&lt;0.5, "Pending", IF(BM124&lt;0.5, "Complete", "In Progress"))</f>
        <v>#REF!</v>
      </c>
      <c r="BO124" s="22">
        <v>0</v>
      </c>
      <c r="BP124" s="22" t="e">
        <f t="shared" si="13"/>
        <v>#REF!</v>
      </c>
      <c r="BQ124" s="23" t="e">
        <f>IF(SUMPRODUCT($J$85:BP$85,$J124:BP124)&lt;0.5, "Pending", IF(BP124&lt;0.5, "Complete", "In Progress"))</f>
        <v>#REF!</v>
      </c>
      <c r="BR124" s="22">
        <v>0</v>
      </c>
      <c r="BS124" s="22" t="e">
        <f t="shared" si="14"/>
        <v>#REF!</v>
      </c>
      <c r="BT124" s="23" t="e">
        <f>IF(SUMPRODUCT($J$85:BS$85,$J124:BS124)&lt;0.5, "Pending", IF(BS124&lt;0.5, "Complete", "In Progress"))</f>
        <v>#REF!</v>
      </c>
      <c r="BU124" s="22">
        <v>0</v>
      </c>
      <c r="BV124" s="22" t="e">
        <f t="shared" si="15"/>
        <v>#REF!</v>
      </c>
      <c r="BW124" s="23" t="e">
        <f>IF(SUMPRODUCT($J$85:BV$85,$J124:BV124)&lt;0.5, "Pending", IF(BV124&lt;0.5, "Complete", "In Progress"))</f>
        <v>#REF!</v>
      </c>
      <c r="BX124" s="22">
        <v>0</v>
      </c>
      <c r="BY124" s="22" t="e">
        <f t="shared" si="16"/>
        <v>#REF!</v>
      </c>
      <c r="BZ124" s="23" t="e">
        <f>IF(SUMPRODUCT($J$85:BY$85,$J124:BY124)&lt;0.5, "Pending", IF(BY124&lt;0.5, "Complete", "In Progress"))</f>
        <v>#REF!</v>
      </c>
      <c r="CA124" s="22">
        <v>0</v>
      </c>
      <c r="CB124" s="22" t="e">
        <f t="shared" si="17"/>
        <v>#REF!</v>
      </c>
      <c r="CC124" s="23" t="e">
        <f>IF(SUMPRODUCT($J$85:CB$85,$J124:CB124)&lt;0.5, "Pending", IF(CB124&lt;0.5, "Complete", "In Progress"))</f>
        <v>#REF!</v>
      </c>
      <c r="CD124" s="24"/>
      <c r="CE124" s="25">
        <f>SUMPRODUCT($H$85:AY$85,$H124:AY124)</f>
        <v>50</v>
      </c>
    </row>
    <row r="125" spans="1:83" ht="13.8" customHeight="1" x14ac:dyDescent="0.25">
      <c r="A125" s="16" t="s">
        <v>103</v>
      </c>
      <c r="B125" s="16" t="s">
        <v>114</v>
      </c>
      <c r="C125" s="16" t="s">
        <v>515</v>
      </c>
      <c r="D125" s="17">
        <v>8</v>
      </c>
      <c r="E125" s="158" t="s">
        <v>420</v>
      </c>
      <c r="F125" s="158" t="s">
        <v>493</v>
      </c>
      <c r="G125" s="168"/>
      <c r="H125" s="20">
        <v>1</v>
      </c>
      <c r="I125" s="21">
        <v>56</v>
      </c>
      <c r="J125" s="21">
        <v>0</v>
      </c>
      <c r="K125" s="21">
        <v>0</v>
      </c>
      <c r="L125" s="21">
        <v>0</v>
      </c>
      <c r="M125" s="21">
        <v>0</v>
      </c>
      <c r="N125" s="21">
        <v>0</v>
      </c>
      <c r="O125" s="21">
        <v>0</v>
      </c>
      <c r="P125" s="21">
        <v>0</v>
      </c>
      <c r="Q125" s="21">
        <v>0</v>
      </c>
      <c r="R125" s="21">
        <v>0</v>
      </c>
      <c r="S125" s="21">
        <v>0</v>
      </c>
      <c r="T125" s="21">
        <v>0</v>
      </c>
      <c r="U125" s="21">
        <v>0</v>
      </c>
      <c r="V125" s="21">
        <v>0</v>
      </c>
      <c r="W125" s="21">
        <v>0</v>
      </c>
      <c r="X125" s="21">
        <v>0</v>
      </c>
      <c r="Y125" s="21">
        <v>0</v>
      </c>
      <c r="Z125" s="21">
        <v>0</v>
      </c>
      <c r="AA125" s="21">
        <v>0</v>
      </c>
      <c r="AB125" s="21">
        <v>0</v>
      </c>
      <c r="AC125" s="21">
        <v>0</v>
      </c>
      <c r="AD125" s="21">
        <v>0</v>
      </c>
      <c r="AE125" s="21">
        <v>0</v>
      </c>
      <c r="AF125" s="21">
        <v>0</v>
      </c>
      <c r="AG125" s="21">
        <v>0</v>
      </c>
      <c r="AH125" s="21">
        <v>0</v>
      </c>
      <c r="AI125" s="21">
        <v>0</v>
      </c>
      <c r="AJ125" s="21">
        <v>0</v>
      </c>
      <c r="AK125" s="21">
        <v>0</v>
      </c>
      <c r="AL125" s="21">
        <v>0</v>
      </c>
      <c r="AM125" s="21">
        <v>0</v>
      </c>
      <c r="AN125" s="21">
        <v>0</v>
      </c>
      <c r="AO125" s="21">
        <v>0</v>
      </c>
      <c r="AP125" s="21">
        <v>0</v>
      </c>
      <c r="AQ125" s="21">
        <v>0</v>
      </c>
      <c r="AR125" s="21">
        <v>0</v>
      </c>
      <c r="AS125" s="21">
        <v>0</v>
      </c>
      <c r="AT125" s="21">
        <v>0</v>
      </c>
      <c r="AU125" s="21">
        <v>0</v>
      </c>
      <c r="AV125" s="21">
        <v>0</v>
      </c>
      <c r="AW125" s="21">
        <v>0</v>
      </c>
      <c r="AX125" s="21">
        <v>0</v>
      </c>
      <c r="AY125" s="21">
        <v>0</v>
      </c>
      <c r="AZ125" s="22">
        <v>0</v>
      </c>
      <c r="BA125" s="22" t="e">
        <f>MAX(#REF!-AZ125,0)</f>
        <v>#REF!</v>
      </c>
      <c r="BB125" s="23" t="e">
        <f>IF(SUMPRODUCT($J$85:BA$85,$J125:BA125)&lt;0.5, "Pending", IF(BA125&lt;0.5, "Complete", "In Progress"))</f>
        <v>#REF!</v>
      </c>
      <c r="BC125" s="22">
        <v>0</v>
      </c>
      <c r="BD125" s="22" t="e">
        <f t="shared" si="9"/>
        <v>#REF!</v>
      </c>
      <c r="BE125" s="23" t="e">
        <f>IF(SUMPRODUCT($J$85:BD$85,$J125:BD125)&lt;0.5, "Pending", IF(BD125&lt;0.5, "Complete", "In Progress"))</f>
        <v>#REF!</v>
      </c>
      <c r="BF125" s="22">
        <v>0</v>
      </c>
      <c r="BG125" s="22" t="e">
        <f t="shared" si="10"/>
        <v>#REF!</v>
      </c>
      <c r="BH125" s="23" t="e">
        <f>IF(SUMPRODUCT($J$85:BG$85,$J125:BG125)&lt;0.5, "Pending", IF(BG125&lt;0.5, "Complete", "In Progress"))</f>
        <v>#REF!</v>
      </c>
      <c r="BI125" s="22">
        <v>0</v>
      </c>
      <c r="BJ125" s="22" t="e">
        <f t="shared" si="11"/>
        <v>#REF!</v>
      </c>
      <c r="BK125" s="23" t="e">
        <f>IF(SUMPRODUCT($J$85:BJ$85,$J125:BJ125)&lt;0.5, "Pending", IF(BJ125&lt;0.5, "Complete", "In Progress"))</f>
        <v>#REF!</v>
      </c>
      <c r="BL125" s="22">
        <v>0</v>
      </c>
      <c r="BM125" s="22" t="e">
        <f t="shared" si="12"/>
        <v>#REF!</v>
      </c>
      <c r="BN125" s="23" t="e">
        <f>IF(SUMPRODUCT($J$85:BM$85,$J125:BM125)&lt;0.5, "Pending", IF(BM125&lt;0.5, "Complete", "In Progress"))</f>
        <v>#REF!</v>
      </c>
      <c r="BO125" s="22">
        <v>0</v>
      </c>
      <c r="BP125" s="22" t="e">
        <f t="shared" si="13"/>
        <v>#REF!</v>
      </c>
      <c r="BQ125" s="23" t="e">
        <f>IF(SUMPRODUCT($J$85:BP$85,$J125:BP125)&lt;0.5, "Pending", IF(BP125&lt;0.5, "Complete", "In Progress"))</f>
        <v>#REF!</v>
      </c>
      <c r="BR125" s="22">
        <v>0</v>
      </c>
      <c r="BS125" s="22" t="e">
        <f t="shared" si="14"/>
        <v>#REF!</v>
      </c>
      <c r="BT125" s="23" t="e">
        <f>IF(SUMPRODUCT($J$85:BS$85,$J125:BS125)&lt;0.5, "Pending", IF(BS125&lt;0.5, "Complete", "In Progress"))</f>
        <v>#REF!</v>
      </c>
      <c r="BU125" s="22">
        <v>0</v>
      </c>
      <c r="BV125" s="22" t="e">
        <f t="shared" si="15"/>
        <v>#REF!</v>
      </c>
      <c r="BW125" s="23" t="e">
        <f>IF(SUMPRODUCT($J$85:BV$85,$J125:BV125)&lt;0.5, "Pending", IF(BV125&lt;0.5, "Complete", "In Progress"))</f>
        <v>#REF!</v>
      </c>
      <c r="BX125" s="22">
        <v>0</v>
      </c>
      <c r="BY125" s="22" t="e">
        <f t="shared" si="16"/>
        <v>#REF!</v>
      </c>
      <c r="BZ125" s="23" t="e">
        <f>IF(SUMPRODUCT($J$85:BY$85,$J125:BY125)&lt;0.5, "Pending", IF(BY125&lt;0.5, "Complete", "In Progress"))</f>
        <v>#REF!</v>
      </c>
      <c r="CA125" s="22">
        <v>0</v>
      </c>
      <c r="CB125" s="22" t="e">
        <f t="shared" si="17"/>
        <v>#REF!</v>
      </c>
      <c r="CC125" s="23" t="e">
        <f>IF(SUMPRODUCT($J$85:CB$85,$J125:CB125)&lt;0.5, "Pending", IF(CB125&lt;0.5, "Complete", "In Progress"))</f>
        <v>#REF!</v>
      </c>
      <c r="CD125" s="24"/>
      <c r="CE125" s="25">
        <f>SUMPRODUCT($H$85:AY$85,$H125:AY125)</f>
        <v>393</v>
      </c>
    </row>
    <row r="126" spans="1:83" ht="13.8" customHeight="1" x14ac:dyDescent="0.25">
      <c r="A126" s="16" t="s">
        <v>103</v>
      </c>
      <c r="B126" s="16" t="s">
        <v>114</v>
      </c>
      <c r="C126" s="16" t="s">
        <v>515</v>
      </c>
      <c r="D126" s="17">
        <v>8.1</v>
      </c>
      <c r="E126" s="158" t="s">
        <v>421</v>
      </c>
      <c r="F126" s="158" t="s">
        <v>494</v>
      </c>
      <c r="G126" s="19"/>
      <c r="H126" s="20">
        <v>1</v>
      </c>
      <c r="I126" s="21">
        <v>6</v>
      </c>
      <c r="J126" s="21">
        <v>0</v>
      </c>
      <c r="K126" s="21">
        <v>0</v>
      </c>
      <c r="L126" s="21">
        <v>0</v>
      </c>
      <c r="M126" s="21">
        <v>0</v>
      </c>
      <c r="N126" s="21">
        <v>0</v>
      </c>
      <c r="O126" s="21">
        <v>0</v>
      </c>
      <c r="P126" s="21">
        <v>0</v>
      </c>
      <c r="Q126" s="21">
        <v>0</v>
      </c>
      <c r="R126" s="21">
        <v>0</v>
      </c>
      <c r="S126" s="21">
        <v>0</v>
      </c>
      <c r="T126" s="21">
        <v>0</v>
      </c>
      <c r="U126" s="21">
        <v>0</v>
      </c>
      <c r="V126" s="21">
        <v>0</v>
      </c>
      <c r="W126" s="21">
        <v>0</v>
      </c>
      <c r="X126" s="21">
        <v>0</v>
      </c>
      <c r="Y126" s="21">
        <v>0</v>
      </c>
      <c r="Z126" s="21">
        <v>0</v>
      </c>
      <c r="AA126" s="21">
        <v>0</v>
      </c>
      <c r="AB126" s="21">
        <v>0</v>
      </c>
      <c r="AC126" s="21">
        <v>0</v>
      </c>
      <c r="AD126" s="21">
        <v>0</v>
      </c>
      <c r="AE126" s="21">
        <v>0</v>
      </c>
      <c r="AF126" s="21">
        <v>0</v>
      </c>
      <c r="AG126" s="21">
        <v>0</v>
      </c>
      <c r="AH126" s="21">
        <v>0</v>
      </c>
      <c r="AI126" s="21">
        <v>0</v>
      </c>
      <c r="AJ126" s="21">
        <v>0</v>
      </c>
      <c r="AK126" s="21">
        <v>0</v>
      </c>
      <c r="AL126" s="21">
        <v>0</v>
      </c>
      <c r="AM126" s="21">
        <v>0</v>
      </c>
      <c r="AN126" s="21">
        <v>0</v>
      </c>
      <c r="AO126" s="21">
        <v>0</v>
      </c>
      <c r="AP126" s="21">
        <v>0</v>
      </c>
      <c r="AQ126" s="21">
        <v>0</v>
      </c>
      <c r="AR126" s="21">
        <v>0</v>
      </c>
      <c r="AS126" s="21">
        <v>0</v>
      </c>
      <c r="AT126" s="21">
        <v>0</v>
      </c>
      <c r="AU126" s="21">
        <v>0</v>
      </c>
      <c r="AV126" s="21">
        <v>0</v>
      </c>
      <c r="AW126" s="21">
        <v>0</v>
      </c>
      <c r="AX126" s="21">
        <v>0</v>
      </c>
      <c r="AY126" s="21">
        <v>0</v>
      </c>
      <c r="AZ126" s="22">
        <v>0</v>
      </c>
      <c r="BA126" s="22" t="e">
        <f>MAX(#REF!-AZ126,0)</f>
        <v>#REF!</v>
      </c>
      <c r="BB126" s="23" t="e">
        <f>IF(SUMPRODUCT($J$85:BA$85,$J126:BA126)&lt;0.5, "Pending", IF(BA126&lt;0.5, "Complete", "In Progress"))</f>
        <v>#REF!</v>
      </c>
      <c r="BC126" s="22">
        <v>0</v>
      </c>
      <c r="BD126" s="22" t="e">
        <f t="shared" si="9"/>
        <v>#REF!</v>
      </c>
      <c r="BE126" s="23" t="e">
        <f>IF(SUMPRODUCT($J$85:BD$85,$J126:BD126)&lt;0.5, "Pending", IF(BD126&lt;0.5, "Complete", "In Progress"))</f>
        <v>#REF!</v>
      </c>
      <c r="BF126" s="22">
        <v>0</v>
      </c>
      <c r="BG126" s="22" t="e">
        <f t="shared" si="10"/>
        <v>#REF!</v>
      </c>
      <c r="BH126" s="23" t="e">
        <f>IF(SUMPRODUCT($J$85:BG$85,$J126:BG126)&lt;0.5, "Pending", IF(BG126&lt;0.5, "Complete", "In Progress"))</f>
        <v>#REF!</v>
      </c>
      <c r="BI126" s="22">
        <v>0</v>
      </c>
      <c r="BJ126" s="22" t="e">
        <f t="shared" si="11"/>
        <v>#REF!</v>
      </c>
      <c r="BK126" s="23" t="e">
        <f>IF(SUMPRODUCT($J$85:BJ$85,$J126:BJ126)&lt;0.5, "Pending", IF(BJ126&lt;0.5, "Complete", "In Progress"))</f>
        <v>#REF!</v>
      </c>
      <c r="BL126" s="22">
        <v>0</v>
      </c>
      <c r="BM126" s="22" t="e">
        <f t="shared" si="12"/>
        <v>#REF!</v>
      </c>
      <c r="BN126" s="23" t="e">
        <f>IF(SUMPRODUCT($J$85:BM$85,$J126:BM126)&lt;0.5, "Pending", IF(BM126&lt;0.5, "Complete", "In Progress"))</f>
        <v>#REF!</v>
      </c>
      <c r="BO126" s="22">
        <v>0</v>
      </c>
      <c r="BP126" s="22" t="e">
        <f t="shared" si="13"/>
        <v>#REF!</v>
      </c>
      <c r="BQ126" s="23" t="e">
        <f>IF(SUMPRODUCT($J$85:BP$85,$J126:BP126)&lt;0.5, "Pending", IF(BP126&lt;0.5, "Complete", "In Progress"))</f>
        <v>#REF!</v>
      </c>
      <c r="BR126" s="22">
        <v>0</v>
      </c>
      <c r="BS126" s="22" t="e">
        <f t="shared" si="14"/>
        <v>#REF!</v>
      </c>
      <c r="BT126" s="23" t="e">
        <f>IF(SUMPRODUCT($J$85:BS$85,$J126:BS126)&lt;0.5, "Pending", IF(BS126&lt;0.5, "Complete", "In Progress"))</f>
        <v>#REF!</v>
      </c>
      <c r="BU126" s="22">
        <v>0</v>
      </c>
      <c r="BV126" s="22" t="e">
        <f t="shared" si="15"/>
        <v>#REF!</v>
      </c>
      <c r="BW126" s="23" t="e">
        <f>IF(SUMPRODUCT($J$85:BV$85,$J126:BV126)&lt;0.5, "Pending", IF(BV126&lt;0.5, "Complete", "In Progress"))</f>
        <v>#REF!</v>
      </c>
      <c r="BX126" s="22">
        <v>0</v>
      </c>
      <c r="BY126" s="22" t="e">
        <f t="shared" si="16"/>
        <v>#REF!</v>
      </c>
      <c r="BZ126" s="23" t="e">
        <f>IF(SUMPRODUCT($J$85:BY$85,$J126:BY126)&lt;0.5, "Pending", IF(BY126&lt;0.5, "Complete", "In Progress"))</f>
        <v>#REF!</v>
      </c>
      <c r="CA126" s="22">
        <v>0</v>
      </c>
      <c r="CB126" s="22" t="e">
        <f t="shared" si="17"/>
        <v>#REF!</v>
      </c>
      <c r="CC126" s="23" t="e">
        <f>IF(SUMPRODUCT($J$85:CB$85,$J126:CB126)&lt;0.5, "Pending", IF(CB126&lt;0.5, "Complete", "In Progress"))</f>
        <v>#REF!</v>
      </c>
      <c r="CD126" s="24"/>
      <c r="CE126" s="25">
        <f>SUMPRODUCT($H$85:AY$85,$H126:AY126)</f>
        <v>43</v>
      </c>
    </row>
    <row r="127" spans="1:83" ht="13.8" customHeight="1" x14ac:dyDescent="0.25">
      <c r="A127" s="16" t="s">
        <v>104</v>
      </c>
      <c r="B127" s="16" t="s">
        <v>121</v>
      </c>
      <c r="C127" s="16" t="s">
        <v>516</v>
      </c>
      <c r="D127" s="17" t="s">
        <v>237</v>
      </c>
      <c r="E127" s="158" t="s">
        <v>422</v>
      </c>
      <c r="F127" s="158" t="s">
        <v>497</v>
      </c>
      <c r="G127" s="19"/>
      <c r="H127" s="20">
        <v>1</v>
      </c>
      <c r="I127" s="21">
        <v>6</v>
      </c>
      <c r="J127" s="21">
        <v>0</v>
      </c>
      <c r="K127" s="21">
        <v>0</v>
      </c>
      <c r="L127" s="21">
        <v>0</v>
      </c>
      <c r="M127" s="21">
        <v>0</v>
      </c>
      <c r="N127" s="21">
        <v>0</v>
      </c>
      <c r="O127" s="21">
        <v>0</v>
      </c>
      <c r="P127" s="21">
        <v>0</v>
      </c>
      <c r="Q127" s="21">
        <v>0</v>
      </c>
      <c r="R127" s="21">
        <v>0</v>
      </c>
      <c r="S127" s="21">
        <v>0</v>
      </c>
      <c r="T127" s="21">
        <v>0</v>
      </c>
      <c r="U127" s="21">
        <v>0</v>
      </c>
      <c r="V127" s="21">
        <v>0</v>
      </c>
      <c r="W127" s="21">
        <v>0</v>
      </c>
      <c r="X127" s="21">
        <v>0</v>
      </c>
      <c r="Y127" s="21">
        <v>0</v>
      </c>
      <c r="Z127" s="21">
        <v>0</v>
      </c>
      <c r="AA127" s="21">
        <v>0</v>
      </c>
      <c r="AB127" s="21">
        <v>0</v>
      </c>
      <c r="AC127" s="21">
        <v>0</v>
      </c>
      <c r="AD127" s="21">
        <v>0</v>
      </c>
      <c r="AE127" s="21">
        <v>0</v>
      </c>
      <c r="AF127" s="21">
        <v>0</v>
      </c>
      <c r="AG127" s="21">
        <v>0</v>
      </c>
      <c r="AH127" s="21">
        <v>0</v>
      </c>
      <c r="AI127" s="21">
        <v>0</v>
      </c>
      <c r="AJ127" s="21">
        <v>0</v>
      </c>
      <c r="AK127" s="21">
        <v>0</v>
      </c>
      <c r="AL127" s="21">
        <v>0</v>
      </c>
      <c r="AM127" s="21">
        <v>0</v>
      </c>
      <c r="AN127" s="21">
        <v>0</v>
      </c>
      <c r="AO127" s="21">
        <v>0</v>
      </c>
      <c r="AP127" s="21">
        <v>0</v>
      </c>
      <c r="AQ127" s="21">
        <v>0</v>
      </c>
      <c r="AR127" s="21">
        <v>0</v>
      </c>
      <c r="AS127" s="21">
        <v>0</v>
      </c>
      <c r="AT127" s="21">
        <v>0</v>
      </c>
      <c r="AU127" s="21">
        <v>0</v>
      </c>
      <c r="AV127" s="21">
        <v>0</v>
      </c>
      <c r="AW127" s="21">
        <v>0</v>
      </c>
      <c r="AX127" s="21">
        <v>0</v>
      </c>
      <c r="AY127" s="21">
        <v>0</v>
      </c>
      <c r="AZ127" s="22">
        <v>0</v>
      </c>
      <c r="BA127" s="22" t="e">
        <f>MAX(#REF!-AZ127,0)</f>
        <v>#REF!</v>
      </c>
      <c r="BB127" s="23" t="e">
        <f>IF(SUMPRODUCT($J$85:BA$85,$J127:BA127)&lt;0.5, "Pending", IF(BA127&lt;0.5, "Complete", "In Progress"))</f>
        <v>#REF!</v>
      </c>
      <c r="BC127" s="22">
        <v>0</v>
      </c>
      <c r="BD127" s="22" t="e">
        <f t="shared" si="9"/>
        <v>#REF!</v>
      </c>
      <c r="BE127" s="23" t="e">
        <f>IF(SUMPRODUCT($J$85:BD$85,$J127:BD127)&lt;0.5, "Pending", IF(BD127&lt;0.5, "Complete", "In Progress"))</f>
        <v>#REF!</v>
      </c>
      <c r="BF127" s="22">
        <v>0</v>
      </c>
      <c r="BG127" s="22" t="e">
        <f t="shared" si="10"/>
        <v>#REF!</v>
      </c>
      <c r="BH127" s="23" t="e">
        <f>IF(SUMPRODUCT($J$85:BG$85,$J127:BG127)&lt;0.5, "Pending", IF(BG127&lt;0.5, "Complete", "In Progress"))</f>
        <v>#REF!</v>
      </c>
      <c r="BI127" s="22">
        <v>0</v>
      </c>
      <c r="BJ127" s="22" t="e">
        <f t="shared" si="11"/>
        <v>#REF!</v>
      </c>
      <c r="BK127" s="23" t="e">
        <f>IF(SUMPRODUCT($J$85:BJ$85,$J127:BJ127)&lt;0.5, "Pending", IF(BJ127&lt;0.5, "Complete", "In Progress"))</f>
        <v>#REF!</v>
      </c>
      <c r="BL127" s="22">
        <v>0</v>
      </c>
      <c r="BM127" s="22" t="e">
        <f t="shared" si="12"/>
        <v>#REF!</v>
      </c>
      <c r="BN127" s="23" t="e">
        <f>IF(SUMPRODUCT($J$85:BM$85,$J127:BM127)&lt;0.5, "Pending", IF(BM127&lt;0.5, "Complete", "In Progress"))</f>
        <v>#REF!</v>
      </c>
      <c r="BO127" s="22">
        <v>0</v>
      </c>
      <c r="BP127" s="22" t="e">
        <f t="shared" si="13"/>
        <v>#REF!</v>
      </c>
      <c r="BQ127" s="23" t="e">
        <f>IF(SUMPRODUCT($J$85:BP$85,$J127:BP127)&lt;0.5, "Pending", IF(BP127&lt;0.5, "Complete", "In Progress"))</f>
        <v>#REF!</v>
      </c>
      <c r="BR127" s="22">
        <v>0</v>
      </c>
      <c r="BS127" s="22" t="e">
        <f t="shared" si="14"/>
        <v>#REF!</v>
      </c>
      <c r="BT127" s="23" t="e">
        <f>IF(SUMPRODUCT($J$85:BS$85,$J127:BS127)&lt;0.5, "Pending", IF(BS127&lt;0.5, "Complete", "In Progress"))</f>
        <v>#REF!</v>
      </c>
      <c r="BU127" s="22">
        <v>0</v>
      </c>
      <c r="BV127" s="22" t="e">
        <f t="shared" si="15"/>
        <v>#REF!</v>
      </c>
      <c r="BW127" s="23" t="e">
        <f>IF(SUMPRODUCT($J$85:BV$85,$J127:BV127)&lt;0.5, "Pending", IF(BV127&lt;0.5, "Complete", "In Progress"))</f>
        <v>#REF!</v>
      </c>
      <c r="BX127" s="22">
        <v>0</v>
      </c>
      <c r="BY127" s="22" t="e">
        <f t="shared" si="16"/>
        <v>#REF!</v>
      </c>
      <c r="BZ127" s="23" t="e">
        <f>IF(SUMPRODUCT($J$85:BY$85,$J127:BY127)&lt;0.5, "Pending", IF(BY127&lt;0.5, "Complete", "In Progress"))</f>
        <v>#REF!</v>
      </c>
      <c r="CA127" s="22">
        <v>0</v>
      </c>
      <c r="CB127" s="22" t="e">
        <f t="shared" si="17"/>
        <v>#REF!</v>
      </c>
      <c r="CC127" s="23" t="e">
        <f>IF(SUMPRODUCT($J$85:CB$85,$J127:CB127)&lt;0.5, "Pending", IF(CB127&lt;0.5, "Complete", "In Progress"))</f>
        <v>#REF!</v>
      </c>
      <c r="CD127" s="24"/>
      <c r="CE127" s="25">
        <f>SUMPRODUCT($H$85:AY$85,$H127:AY127)</f>
        <v>43</v>
      </c>
    </row>
    <row r="128" spans="1:83" ht="13.8" customHeight="1" x14ac:dyDescent="0.25">
      <c r="A128" s="16" t="s">
        <v>104</v>
      </c>
      <c r="B128" s="16" t="s">
        <v>114</v>
      </c>
      <c r="C128" s="16" t="s">
        <v>516</v>
      </c>
      <c r="D128" s="17" t="s">
        <v>238</v>
      </c>
      <c r="E128" s="158" t="s">
        <v>423</v>
      </c>
      <c r="F128" s="158" t="s">
        <v>498</v>
      </c>
      <c r="G128" s="19"/>
      <c r="H128" s="20">
        <v>1</v>
      </c>
      <c r="I128" s="21">
        <v>6</v>
      </c>
      <c r="J128" s="21">
        <v>0</v>
      </c>
      <c r="K128" s="21">
        <v>0</v>
      </c>
      <c r="L128" s="21">
        <v>0</v>
      </c>
      <c r="M128" s="21">
        <v>0</v>
      </c>
      <c r="N128" s="21">
        <v>0</v>
      </c>
      <c r="O128" s="21">
        <v>0</v>
      </c>
      <c r="P128" s="21">
        <v>0</v>
      </c>
      <c r="Q128" s="21">
        <v>0</v>
      </c>
      <c r="R128" s="21">
        <v>0</v>
      </c>
      <c r="S128" s="21">
        <v>0</v>
      </c>
      <c r="T128" s="21">
        <v>0</v>
      </c>
      <c r="U128" s="21">
        <v>0</v>
      </c>
      <c r="V128" s="21">
        <v>0</v>
      </c>
      <c r="W128" s="21">
        <v>0</v>
      </c>
      <c r="X128" s="21">
        <v>0</v>
      </c>
      <c r="Y128" s="21">
        <v>0</v>
      </c>
      <c r="Z128" s="21">
        <v>0</v>
      </c>
      <c r="AA128" s="21">
        <v>0</v>
      </c>
      <c r="AB128" s="21">
        <v>0</v>
      </c>
      <c r="AC128" s="21">
        <v>0</v>
      </c>
      <c r="AD128" s="21">
        <v>0</v>
      </c>
      <c r="AE128" s="21">
        <v>0</v>
      </c>
      <c r="AF128" s="21">
        <v>0</v>
      </c>
      <c r="AG128" s="21">
        <v>0</v>
      </c>
      <c r="AH128" s="21">
        <v>0</v>
      </c>
      <c r="AI128" s="21">
        <v>0</v>
      </c>
      <c r="AJ128" s="21">
        <v>0</v>
      </c>
      <c r="AK128" s="21">
        <v>0</v>
      </c>
      <c r="AL128" s="21">
        <v>0</v>
      </c>
      <c r="AM128" s="21">
        <v>0</v>
      </c>
      <c r="AN128" s="21">
        <v>0</v>
      </c>
      <c r="AO128" s="21">
        <v>0</v>
      </c>
      <c r="AP128" s="21">
        <v>0</v>
      </c>
      <c r="AQ128" s="21">
        <v>0</v>
      </c>
      <c r="AR128" s="21">
        <v>0</v>
      </c>
      <c r="AS128" s="21">
        <v>0</v>
      </c>
      <c r="AT128" s="21">
        <v>0</v>
      </c>
      <c r="AU128" s="21">
        <v>0</v>
      </c>
      <c r="AV128" s="21">
        <v>0</v>
      </c>
      <c r="AW128" s="21">
        <v>0</v>
      </c>
      <c r="AX128" s="21">
        <v>0</v>
      </c>
      <c r="AY128" s="21">
        <v>0</v>
      </c>
      <c r="AZ128" s="22">
        <v>0</v>
      </c>
      <c r="BA128" s="22" t="e">
        <f>MAX(#REF!-AZ128,0)</f>
        <v>#REF!</v>
      </c>
      <c r="BB128" s="23" t="e">
        <f>IF(SUMPRODUCT($J$85:BA$85,$J128:BA128)&lt;0.5, "Pending", IF(BA128&lt;0.5, "Complete", "In Progress"))</f>
        <v>#REF!</v>
      </c>
      <c r="BC128" s="22">
        <v>0</v>
      </c>
      <c r="BD128" s="22" t="e">
        <f t="shared" si="9"/>
        <v>#REF!</v>
      </c>
      <c r="BE128" s="23" t="e">
        <f>IF(SUMPRODUCT($J$85:BD$85,$J128:BD128)&lt;0.5, "Pending", IF(BD128&lt;0.5, "Complete", "In Progress"))</f>
        <v>#REF!</v>
      </c>
      <c r="BF128" s="22">
        <v>0</v>
      </c>
      <c r="BG128" s="22" t="e">
        <f t="shared" si="10"/>
        <v>#REF!</v>
      </c>
      <c r="BH128" s="23" t="e">
        <f>IF(SUMPRODUCT($J$85:BG$85,$J128:BG128)&lt;0.5, "Pending", IF(BG128&lt;0.5, "Complete", "In Progress"))</f>
        <v>#REF!</v>
      </c>
      <c r="BI128" s="22">
        <v>0</v>
      </c>
      <c r="BJ128" s="22" t="e">
        <f t="shared" si="11"/>
        <v>#REF!</v>
      </c>
      <c r="BK128" s="23" t="e">
        <f>IF(SUMPRODUCT($J$85:BJ$85,$J128:BJ128)&lt;0.5, "Pending", IF(BJ128&lt;0.5, "Complete", "In Progress"))</f>
        <v>#REF!</v>
      </c>
      <c r="BL128" s="22">
        <v>0</v>
      </c>
      <c r="BM128" s="22" t="e">
        <f t="shared" si="12"/>
        <v>#REF!</v>
      </c>
      <c r="BN128" s="23" t="e">
        <f>IF(SUMPRODUCT($J$85:BM$85,$J128:BM128)&lt;0.5, "Pending", IF(BM128&lt;0.5, "Complete", "In Progress"))</f>
        <v>#REF!</v>
      </c>
      <c r="BO128" s="22">
        <v>0</v>
      </c>
      <c r="BP128" s="22" t="e">
        <f t="shared" si="13"/>
        <v>#REF!</v>
      </c>
      <c r="BQ128" s="23" t="e">
        <f>IF(SUMPRODUCT($J$85:BP$85,$J128:BP128)&lt;0.5, "Pending", IF(BP128&lt;0.5, "Complete", "In Progress"))</f>
        <v>#REF!</v>
      </c>
      <c r="BR128" s="22">
        <v>0</v>
      </c>
      <c r="BS128" s="22" t="e">
        <f t="shared" si="14"/>
        <v>#REF!</v>
      </c>
      <c r="BT128" s="23" t="e">
        <f>IF(SUMPRODUCT($J$85:BS$85,$J128:BS128)&lt;0.5, "Pending", IF(BS128&lt;0.5, "Complete", "In Progress"))</f>
        <v>#REF!</v>
      </c>
      <c r="BU128" s="22">
        <v>0</v>
      </c>
      <c r="BV128" s="22" t="e">
        <f t="shared" si="15"/>
        <v>#REF!</v>
      </c>
      <c r="BW128" s="23" t="e">
        <f>IF(SUMPRODUCT($J$85:BV$85,$J128:BV128)&lt;0.5, "Pending", IF(BV128&lt;0.5, "Complete", "In Progress"))</f>
        <v>#REF!</v>
      </c>
      <c r="BX128" s="22">
        <v>0</v>
      </c>
      <c r="BY128" s="22" t="e">
        <f t="shared" si="16"/>
        <v>#REF!</v>
      </c>
      <c r="BZ128" s="23" t="e">
        <f>IF(SUMPRODUCT($J$85:BY$85,$J128:BY128)&lt;0.5, "Pending", IF(BY128&lt;0.5, "Complete", "In Progress"))</f>
        <v>#REF!</v>
      </c>
      <c r="CA128" s="22">
        <v>0</v>
      </c>
      <c r="CB128" s="22" t="e">
        <f t="shared" si="17"/>
        <v>#REF!</v>
      </c>
      <c r="CC128" s="23" t="e">
        <f>IF(SUMPRODUCT($J$85:CB$85,$J128:CB128)&lt;0.5, "Pending", IF(CB128&lt;0.5, "Complete", "In Progress"))</f>
        <v>#REF!</v>
      </c>
      <c r="CD128" s="24"/>
      <c r="CE128" s="25">
        <f>SUMPRODUCT($H$85:AY$85,$H128:AY128)</f>
        <v>43</v>
      </c>
    </row>
    <row r="129" spans="1:83" ht="13.8" customHeight="1" x14ac:dyDescent="0.25">
      <c r="A129" s="16" t="s">
        <v>104</v>
      </c>
      <c r="B129" s="16" t="s">
        <v>122</v>
      </c>
      <c r="C129" s="16" t="s">
        <v>516</v>
      </c>
      <c r="D129" s="17" t="s">
        <v>239</v>
      </c>
      <c r="E129" s="158" t="s">
        <v>424</v>
      </c>
      <c r="F129" s="158" t="s">
        <v>496</v>
      </c>
      <c r="G129" s="19"/>
      <c r="H129" s="20">
        <v>1</v>
      </c>
      <c r="I129" s="21">
        <v>6</v>
      </c>
      <c r="J129" s="21">
        <v>0</v>
      </c>
      <c r="K129" s="21">
        <v>0</v>
      </c>
      <c r="L129" s="21">
        <v>0</v>
      </c>
      <c r="M129" s="21">
        <v>0</v>
      </c>
      <c r="N129" s="21">
        <v>0</v>
      </c>
      <c r="O129" s="21">
        <v>0</v>
      </c>
      <c r="P129" s="21">
        <v>0</v>
      </c>
      <c r="Q129" s="21">
        <v>0</v>
      </c>
      <c r="R129" s="21">
        <v>0</v>
      </c>
      <c r="S129" s="21">
        <v>0</v>
      </c>
      <c r="T129" s="21">
        <v>0</v>
      </c>
      <c r="U129" s="21">
        <v>0</v>
      </c>
      <c r="V129" s="21">
        <v>0</v>
      </c>
      <c r="W129" s="21">
        <v>0</v>
      </c>
      <c r="X129" s="21">
        <v>0</v>
      </c>
      <c r="Y129" s="21">
        <v>0</v>
      </c>
      <c r="Z129" s="21">
        <v>0</v>
      </c>
      <c r="AA129" s="21">
        <v>0</v>
      </c>
      <c r="AB129" s="21">
        <v>0</v>
      </c>
      <c r="AC129" s="21">
        <v>0</v>
      </c>
      <c r="AD129" s="21">
        <v>0</v>
      </c>
      <c r="AE129" s="21">
        <v>0</v>
      </c>
      <c r="AF129" s="21">
        <v>0</v>
      </c>
      <c r="AG129" s="21">
        <v>0</v>
      </c>
      <c r="AH129" s="21">
        <v>0</v>
      </c>
      <c r="AI129" s="21">
        <v>0</v>
      </c>
      <c r="AJ129" s="21">
        <v>0</v>
      </c>
      <c r="AK129" s="21">
        <v>0</v>
      </c>
      <c r="AL129" s="21">
        <v>0</v>
      </c>
      <c r="AM129" s="21">
        <v>0</v>
      </c>
      <c r="AN129" s="21">
        <v>0</v>
      </c>
      <c r="AO129" s="21">
        <v>0</v>
      </c>
      <c r="AP129" s="21">
        <v>0</v>
      </c>
      <c r="AQ129" s="21">
        <v>0</v>
      </c>
      <c r="AR129" s="21">
        <v>0</v>
      </c>
      <c r="AS129" s="21">
        <v>0</v>
      </c>
      <c r="AT129" s="21">
        <v>0</v>
      </c>
      <c r="AU129" s="21">
        <v>0</v>
      </c>
      <c r="AV129" s="21">
        <v>0</v>
      </c>
      <c r="AW129" s="21">
        <v>0</v>
      </c>
      <c r="AX129" s="21">
        <v>0</v>
      </c>
      <c r="AY129" s="21">
        <v>0</v>
      </c>
      <c r="AZ129" s="22">
        <v>0</v>
      </c>
      <c r="BA129" s="22" t="e">
        <f>MAX(#REF!-AZ129,0)</f>
        <v>#REF!</v>
      </c>
      <c r="BB129" s="23" t="e">
        <f>IF(SUMPRODUCT($J$85:BA$85,$J129:BA129)&lt;0.5, "Pending", IF(BA129&lt;0.5, "Complete", "In Progress"))</f>
        <v>#REF!</v>
      </c>
      <c r="BC129" s="22">
        <v>0</v>
      </c>
      <c r="BD129" s="22" t="e">
        <f t="shared" si="9"/>
        <v>#REF!</v>
      </c>
      <c r="BE129" s="23" t="e">
        <f>IF(SUMPRODUCT($J$85:BD$85,$J129:BD129)&lt;0.5, "Pending", IF(BD129&lt;0.5, "Complete", "In Progress"))</f>
        <v>#REF!</v>
      </c>
      <c r="BF129" s="22">
        <v>0</v>
      </c>
      <c r="BG129" s="22" t="e">
        <f t="shared" si="10"/>
        <v>#REF!</v>
      </c>
      <c r="BH129" s="23" t="e">
        <f>IF(SUMPRODUCT($J$85:BG$85,$J129:BG129)&lt;0.5, "Pending", IF(BG129&lt;0.5, "Complete", "In Progress"))</f>
        <v>#REF!</v>
      </c>
      <c r="BI129" s="22">
        <v>0</v>
      </c>
      <c r="BJ129" s="22" t="e">
        <f t="shared" si="11"/>
        <v>#REF!</v>
      </c>
      <c r="BK129" s="23" t="e">
        <f>IF(SUMPRODUCT($J$85:BJ$85,$J129:BJ129)&lt;0.5, "Pending", IF(BJ129&lt;0.5, "Complete", "In Progress"))</f>
        <v>#REF!</v>
      </c>
      <c r="BL129" s="22">
        <v>0</v>
      </c>
      <c r="BM129" s="22" t="e">
        <f t="shared" si="12"/>
        <v>#REF!</v>
      </c>
      <c r="BN129" s="23" t="e">
        <f>IF(SUMPRODUCT($J$85:BM$85,$J129:BM129)&lt;0.5, "Pending", IF(BM129&lt;0.5, "Complete", "In Progress"))</f>
        <v>#REF!</v>
      </c>
      <c r="BO129" s="22">
        <v>0</v>
      </c>
      <c r="BP129" s="22" t="e">
        <f t="shared" si="13"/>
        <v>#REF!</v>
      </c>
      <c r="BQ129" s="23" t="e">
        <f>IF(SUMPRODUCT($J$85:BP$85,$J129:BP129)&lt;0.5, "Pending", IF(BP129&lt;0.5, "Complete", "In Progress"))</f>
        <v>#REF!</v>
      </c>
      <c r="BR129" s="22">
        <v>0</v>
      </c>
      <c r="BS129" s="22" t="e">
        <f t="shared" si="14"/>
        <v>#REF!</v>
      </c>
      <c r="BT129" s="23" t="e">
        <f>IF(SUMPRODUCT($J$85:BS$85,$J129:BS129)&lt;0.5, "Pending", IF(BS129&lt;0.5, "Complete", "In Progress"))</f>
        <v>#REF!</v>
      </c>
      <c r="BU129" s="22">
        <v>0</v>
      </c>
      <c r="BV129" s="22" t="e">
        <f t="shared" si="15"/>
        <v>#REF!</v>
      </c>
      <c r="BW129" s="23" t="e">
        <f>IF(SUMPRODUCT($J$85:BV$85,$J129:BV129)&lt;0.5, "Pending", IF(BV129&lt;0.5, "Complete", "In Progress"))</f>
        <v>#REF!</v>
      </c>
      <c r="BX129" s="22">
        <v>0</v>
      </c>
      <c r="BY129" s="22" t="e">
        <f t="shared" si="16"/>
        <v>#REF!</v>
      </c>
      <c r="BZ129" s="23" t="e">
        <f>IF(SUMPRODUCT($J$85:BY$85,$J129:BY129)&lt;0.5, "Pending", IF(BY129&lt;0.5, "Complete", "In Progress"))</f>
        <v>#REF!</v>
      </c>
      <c r="CA129" s="22">
        <v>0</v>
      </c>
      <c r="CB129" s="22" t="e">
        <f t="shared" si="17"/>
        <v>#REF!</v>
      </c>
      <c r="CC129" s="23" t="e">
        <f>IF(SUMPRODUCT($J$85:CB$85,$J129:CB129)&lt;0.5, "Pending", IF(CB129&lt;0.5, "Complete", "In Progress"))</f>
        <v>#REF!</v>
      </c>
      <c r="CD129" s="24"/>
      <c r="CE129" s="25">
        <f>SUMPRODUCT($H$85:AY$85,$H129:AY129)</f>
        <v>43</v>
      </c>
    </row>
    <row r="130" spans="1:83" ht="13.8" customHeight="1" x14ac:dyDescent="0.25">
      <c r="A130" s="16" t="s">
        <v>103</v>
      </c>
      <c r="B130" s="16" t="s">
        <v>114</v>
      </c>
      <c r="C130" s="16" t="s">
        <v>516</v>
      </c>
      <c r="D130" s="17" t="s">
        <v>240</v>
      </c>
      <c r="E130" s="158" t="s">
        <v>425</v>
      </c>
      <c r="F130" s="158" t="s">
        <v>495</v>
      </c>
      <c r="G130" s="169"/>
      <c r="H130" s="20">
        <v>1</v>
      </c>
      <c r="I130" s="21">
        <v>6</v>
      </c>
      <c r="J130" s="21">
        <v>0</v>
      </c>
      <c r="K130" s="21">
        <v>0</v>
      </c>
      <c r="L130" s="21">
        <v>0</v>
      </c>
      <c r="M130" s="21">
        <v>0</v>
      </c>
      <c r="N130" s="21">
        <v>0</v>
      </c>
      <c r="O130" s="21">
        <v>0</v>
      </c>
      <c r="P130" s="21">
        <v>0</v>
      </c>
      <c r="Q130" s="21">
        <v>0</v>
      </c>
      <c r="R130" s="21">
        <v>0</v>
      </c>
      <c r="S130" s="21">
        <v>0</v>
      </c>
      <c r="T130" s="21">
        <v>0</v>
      </c>
      <c r="U130" s="21">
        <v>0</v>
      </c>
      <c r="V130" s="21">
        <v>0</v>
      </c>
      <c r="W130" s="21">
        <v>0</v>
      </c>
      <c r="X130" s="21">
        <v>0</v>
      </c>
      <c r="Y130" s="21">
        <v>0</v>
      </c>
      <c r="Z130" s="21">
        <v>0</v>
      </c>
      <c r="AA130" s="21">
        <v>0</v>
      </c>
      <c r="AB130" s="21">
        <v>0</v>
      </c>
      <c r="AC130" s="21">
        <v>0</v>
      </c>
      <c r="AD130" s="21">
        <v>0</v>
      </c>
      <c r="AE130" s="21">
        <v>0</v>
      </c>
      <c r="AF130" s="21">
        <v>0</v>
      </c>
      <c r="AG130" s="21">
        <v>0</v>
      </c>
      <c r="AH130" s="21">
        <v>0</v>
      </c>
      <c r="AI130" s="21">
        <v>0</v>
      </c>
      <c r="AJ130" s="21">
        <v>0</v>
      </c>
      <c r="AK130" s="21">
        <v>0</v>
      </c>
      <c r="AL130" s="21">
        <v>0</v>
      </c>
      <c r="AM130" s="21">
        <v>0</v>
      </c>
      <c r="AN130" s="21">
        <v>0</v>
      </c>
      <c r="AO130" s="21">
        <v>0</v>
      </c>
      <c r="AP130" s="21">
        <v>0</v>
      </c>
      <c r="AQ130" s="21">
        <v>0</v>
      </c>
      <c r="AR130" s="21">
        <v>0</v>
      </c>
      <c r="AS130" s="21">
        <v>0</v>
      </c>
      <c r="AT130" s="21">
        <v>0</v>
      </c>
      <c r="AU130" s="21">
        <v>0</v>
      </c>
      <c r="AV130" s="21">
        <v>0</v>
      </c>
      <c r="AW130" s="21">
        <v>0</v>
      </c>
      <c r="AX130" s="21">
        <v>0</v>
      </c>
      <c r="AY130" s="21">
        <v>0</v>
      </c>
      <c r="AZ130" s="22">
        <v>0</v>
      </c>
      <c r="BA130" s="22" t="e">
        <f>MAX(#REF!-AZ130,0)</f>
        <v>#REF!</v>
      </c>
      <c r="BB130" s="23" t="e">
        <f>IF(SUMPRODUCT($J$85:BA$85,$J130:BA130)&lt;0.5, "Pending", IF(BA130&lt;0.5, "Complete", "In Progress"))</f>
        <v>#REF!</v>
      </c>
      <c r="BC130" s="22">
        <v>0</v>
      </c>
      <c r="BD130" s="22" t="e">
        <f t="shared" si="9"/>
        <v>#REF!</v>
      </c>
      <c r="BE130" s="23" t="e">
        <f>IF(SUMPRODUCT($J$85:BD$85,$J130:BD130)&lt;0.5, "Pending", IF(BD130&lt;0.5, "Complete", "In Progress"))</f>
        <v>#REF!</v>
      </c>
      <c r="BF130" s="22">
        <v>0</v>
      </c>
      <c r="BG130" s="22" t="e">
        <f t="shared" si="10"/>
        <v>#REF!</v>
      </c>
      <c r="BH130" s="23" t="e">
        <f>IF(SUMPRODUCT($J$85:BG$85,$J130:BG130)&lt;0.5, "Pending", IF(BG130&lt;0.5, "Complete", "In Progress"))</f>
        <v>#REF!</v>
      </c>
      <c r="BI130" s="22">
        <v>0</v>
      </c>
      <c r="BJ130" s="22" t="e">
        <f t="shared" si="11"/>
        <v>#REF!</v>
      </c>
      <c r="BK130" s="23" t="e">
        <f>IF(SUMPRODUCT($J$85:BJ$85,$J130:BJ130)&lt;0.5, "Pending", IF(BJ130&lt;0.5, "Complete", "In Progress"))</f>
        <v>#REF!</v>
      </c>
      <c r="BL130" s="22">
        <v>0</v>
      </c>
      <c r="BM130" s="22" t="e">
        <f t="shared" si="12"/>
        <v>#REF!</v>
      </c>
      <c r="BN130" s="23" t="e">
        <f>IF(SUMPRODUCT($J$85:BM$85,$J130:BM130)&lt;0.5, "Pending", IF(BM130&lt;0.5, "Complete", "In Progress"))</f>
        <v>#REF!</v>
      </c>
      <c r="BO130" s="22">
        <v>0</v>
      </c>
      <c r="BP130" s="22" t="e">
        <f t="shared" si="13"/>
        <v>#REF!</v>
      </c>
      <c r="BQ130" s="23" t="e">
        <f>IF(SUMPRODUCT($J$85:BP$85,$J130:BP130)&lt;0.5, "Pending", IF(BP130&lt;0.5, "Complete", "In Progress"))</f>
        <v>#REF!</v>
      </c>
      <c r="BR130" s="22">
        <v>0</v>
      </c>
      <c r="BS130" s="22" t="e">
        <f t="shared" si="14"/>
        <v>#REF!</v>
      </c>
      <c r="BT130" s="23" t="e">
        <f>IF(SUMPRODUCT($J$85:BS$85,$J130:BS130)&lt;0.5, "Pending", IF(BS130&lt;0.5, "Complete", "In Progress"))</f>
        <v>#REF!</v>
      </c>
      <c r="BU130" s="22">
        <v>0</v>
      </c>
      <c r="BV130" s="22" t="e">
        <f t="shared" si="15"/>
        <v>#REF!</v>
      </c>
      <c r="BW130" s="23" t="e">
        <f>IF(SUMPRODUCT($J$85:BV$85,$J130:BV130)&lt;0.5, "Pending", IF(BV130&lt;0.5, "Complete", "In Progress"))</f>
        <v>#REF!</v>
      </c>
      <c r="BX130" s="22">
        <v>0</v>
      </c>
      <c r="BY130" s="22" t="e">
        <f t="shared" si="16"/>
        <v>#REF!</v>
      </c>
      <c r="BZ130" s="23" t="e">
        <f>IF(SUMPRODUCT($J$85:BY$85,$J130:BY130)&lt;0.5, "Pending", IF(BY130&lt;0.5, "Complete", "In Progress"))</f>
        <v>#REF!</v>
      </c>
      <c r="CA130" s="22">
        <v>0</v>
      </c>
      <c r="CB130" s="22" t="e">
        <f t="shared" si="17"/>
        <v>#REF!</v>
      </c>
      <c r="CC130" s="23" t="e">
        <f>IF(SUMPRODUCT($J$85:CB$85,$J130:CB130)&lt;0.5, "Pending", IF(CB130&lt;0.5, "Complete", "In Progress"))</f>
        <v>#REF!</v>
      </c>
      <c r="CD130" s="24"/>
      <c r="CE130" s="25">
        <f>SUMPRODUCT($H$85:AY$85,$H130:AY130)</f>
        <v>43</v>
      </c>
    </row>
    <row r="131" spans="1:83" ht="13.8" customHeight="1" x14ac:dyDescent="0.25">
      <c r="A131" s="16" t="s">
        <v>103</v>
      </c>
      <c r="B131" s="16" t="s">
        <v>114</v>
      </c>
      <c r="C131" s="16" t="s">
        <v>516</v>
      </c>
      <c r="D131" s="17" t="s">
        <v>241</v>
      </c>
      <c r="E131" s="158" t="s">
        <v>426</v>
      </c>
      <c r="F131" s="158" t="s">
        <v>493</v>
      </c>
      <c r="G131" s="168"/>
      <c r="H131" s="20">
        <v>1</v>
      </c>
      <c r="I131" s="21">
        <v>56</v>
      </c>
      <c r="J131" s="21">
        <v>0</v>
      </c>
      <c r="K131" s="21">
        <v>0</v>
      </c>
      <c r="L131" s="21">
        <v>0</v>
      </c>
      <c r="M131" s="21">
        <v>0</v>
      </c>
      <c r="N131" s="21">
        <v>0</v>
      </c>
      <c r="O131" s="21">
        <v>0</v>
      </c>
      <c r="P131" s="21">
        <v>0</v>
      </c>
      <c r="Q131" s="21">
        <v>0</v>
      </c>
      <c r="R131" s="21">
        <v>0</v>
      </c>
      <c r="S131" s="21">
        <v>0</v>
      </c>
      <c r="T131" s="21">
        <v>0</v>
      </c>
      <c r="U131" s="21">
        <v>0</v>
      </c>
      <c r="V131" s="21">
        <v>0</v>
      </c>
      <c r="W131" s="21">
        <v>0</v>
      </c>
      <c r="X131" s="21">
        <v>0</v>
      </c>
      <c r="Y131" s="21">
        <v>0</v>
      </c>
      <c r="Z131" s="21">
        <v>0</v>
      </c>
      <c r="AA131" s="21">
        <v>0</v>
      </c>
      <c r="AB131" s="21">
        <v>0</v>
      </c>
      <c r="AC131" s="21">
        <v>0</v>
      </c>
      <c r="AD131" s="21">
        <v>0</v>
      </c>
      <c r="AE131" s="21">
        <v>0</v>
      </c>
      <c r="AF131" s="21">
        <v>0</v>
      </c>
      <c r="AG131" s="21">
        <v>0</v>
      </c>
      <c r="AH131" s="21">
        <v>0</v>
      </c>
      <c r="AI131" s="21">
        <v>0</v>
      </c>
      <c r="AJ131" s="21">
        <v>0</v>
      </c>
      <c r="AK131" s="21">
        <v>0</v>
      </c>
      <c r="AL131" s="21">
        <v>0</v>
      </c>
      <c r="AM131" s="21">
        <v>0</v>
      </c>
      <c r="AN131" s="21">
        <v>0</v>
      </c>
      <c r="AO131" s="21">
        <v>0</v>
      </c>
      <c r="AP131" s="21">
        <v>0</v>
      </c>
      <c r="AQ131" s="21">
        <v>0</v>
      </c>
      <c r="AR131" s="21">
        <v>0</v>
      </c>
      <c r="AS131" s="21">
        <v>0</v>
      </c>
      <c r="AT131" s="21">
        <v>0</v>
      </c>
      <c r="AU131" s="21">
        <v>0</v>
      </c>
      <c r="AV131" s="21">
        <v>0</v>
      </c>
      <c r="AW131" s="21">
        <v>0</v>
      </c>
      <c r="AX131" s="21">
        <v>0</v>
      </c>
      <c r="AY131" s="21">
        <v>0</v>
      </c>
      <c r="AZ131" s="22">
        <v>0</v>
      </c>
      <c r="BA131" s="22" t="e">
        <f>MAX(#REF!-AZ131,0)</f>
        <v>#REF!</v>
      </c>
      <c r="BB131" s="23" t="e">
        <f>IF(SUMPRODUCT($J$85:BA$85,$J131:BA131)&lt;0.5, "Pending", IF(BA131&lt;0.5, "Complete", "In Progress"))</f>
        <v>#REF!</v>
      </c>
      <c r="BC131" s="22">
        <v>0</v>
      </c>
      <c r="BD131" s="22" t="e">
        <f t="shared" ref="BD131:BD184" si="18">MAX(BA131-BC131,0)</f>
        <v>#REF!</v>
      </c>
      <c r="BE131" s="23" t="e">
        <f>IF(SUMPRODUCT($J$85:BD$85,$J131:BD131)&lt;0.5, "Pending", IF(BD131&lt;0.5, "Complete", "In Progress"))</f>
        <v>#REF!</v>
      </c>
      <c r="BF131" s="22">
        <v>0</v>
      </c>
      <c r="BG131" s="22" t="e">
        <f t="shared" ref="BG131:BG184" si="19">MAX(BD131-BF131,0)</f>
        <v>#REF!</v>
      </c>
      <c r="BH131" s="23" t="e">
        <f>IF(SUMPRODUCT($J$85:BG$85,$J131:BG131)&lt;0.5, "Pending", IF(BG131&lt;0.5, "Complete", "In Progress"))</f>
        <v>#REF!</v>
      </c>
      <c r="BI131" s="22">
        <v>0</v>
      </c>
      <c r="BJ131" s="22" t="e">
        <f t="shared" ref="BJ131:BJ184" si="20">MAX(BG131-BI131,0)</f>
        <v>#REF!</v>
      </c>
      <c r="BK131" s="23" t="e">
        <f>IF(SUMPRODUCT($J$85:BJ$85,$J131:BJ131)&lt;0.5, "Pending", IF(BJ131&lt;0.5, "Complete", "In Progress"))</f>
        <v>#REF!</v>
      </c>
      <c r="BL131" s="22">
        <v>0</v>
      </c>
      <c r="BM131" s="22" t="e">
        <f t="shared" ref="BM131:BM184" si="21">MAX(BJ131-BL131,0)</f>
        <v>#REF!</v>
      </c>
      <c r="BN131" s="23" t="e">
        <f>IF(SUMPRODUCT($J$85:BM$85,$J131:BM131)&lt;0.5, "Pending", IF(BM131&lt;0.5, "Complete", "In Progress"))</f>
        <v>#REF!</v>
      </c>
      <c r="BO131" s="22">
        <v>0</v>
      </c>
      <c r="BP131" s="22" t="e">
        <f t="shared" ref="BP131:BP184" si="22">MAX(BM131-BO131,0)</f>
        <v>#REF!</v>
      </c>
      <c r="BQ131" s="23" t="e">
        <f>IF(SUMPRODUCT($J$85:BP$85,$J131:BP131)&lt;0.5, "Pending", IF(BP131&lt;0.5, "Complete", "In Progress"))</f>
        <v>#REF!</v>
      </c>
      <c r="BR131" s="22">
        <v>0</v>
      </c>
      <c r="BS131" s="22" t="e">
        <f t="shared" ref="BS131:BS184" si="23">MAX(BP131-BR131,0)</f>
        <v>#REF!</v>
      </c>
      <c r="BT131" s="23" t="e">
        <f>IF(SUMPRODUCT($J$85:BS$85,$J131:BS131)&lt;0.5, "Pending", IF(BS131&lt;0.5, "Complete", "In Progress"))</f>
        <v>#REF!</v>
      </c>
      <c r="BU131" s="22">
        <v>0</v>
      </c>
      <c r="BV131" s="22" t="e">
        <f t="shared" ref="BV131:BV184" si="24">MAX(BS131-BU131,0)</f>
        <v>#REF!</v>
      </c>
      <c r="BW131" s="23" t="e">
        <f>IF(SUMPRODUCT($J$85:BV$85,$J131:BV131)&lt;0.5, "Pending", IF(BV131&lt;0.5, "Complete", "In Progress"))</f>
        <v>#REF!</v>
      </c>
      <c r="BX131" s="22">
        <v>0</v>
      </c>
      <c r="BY131" s="22" t="e">
        <f t="shared" ref="BY131:BY184" si="25">MAX(BV131-BX131,0)</f>
        <v>#REF!</v>
      </c>
      <c r="BZ131" s="23" t="e">
        <f>IF(SUMPRODUCT($J$85:BY$85,$J131:BY131)&lt;0.5, "Pending", IF(BY131&lt;0.5, "Complete", "In Progress"))</f>
        <v>#REF!</v>
      </c>
      <c r="CA131" s="22">
        <v>0</v>
      </c>
      <c r="CB131" s="22" t="e">
        <f t="shared" ref="CB131:CB184" si="26">MAX(BY131-CA131,0)</f>
        <v>#REF!</v>
      </c>
      <c r="CC131" s="23" t="e">
        <f>IF(SUMPRODUCT($J$85:CB$85,$J131:CB131)&lt;0.5, "Pending", IF(CB131&lt;0.5, "Complete", "In Progress"))</f>
        <v>#REF!</v>
      </c>
      <c r="CD131" s="24"/>
      <c r="CE131" s="25">
        <f>SUMPRODUCT($H$85:AY$85,$H131:AY131)</f>
        <v>393</v>
      </c>
    </row>
    <row r="132" spans="1:83" ht="13.8" customHeight="1" x14ac:dyDescent="0.25">
      <c r="A132" s="16" t="s">
        <v>104</v>
      </c>
      <c r="B132" s="16" t="s">
        <v>110</v>
      </c>
      <c r="C132" s="16" t="s">
        <v>516</v>
      </c>
      <c r="D132" s="17" t="s">
        <v>242</v>
      </c>
      <c r="E132" s="158" t="s">
        <v>427</v>
      </c>
      <c r="F132" s="158" t="s">
        <v>494</v>
      </c>
      <c r="G132" s="19"/>
      <c r="H132" s="20">
        <v>1</v>
      </c>
      <c r="I132" s="21">
        <v>6</v>
      </c>
      <c r="J132" s="21">
        <v>0</v>
      </c>
      <c r="K132" s="21">
        <v>0</v>
      </c>
      <c r="L132" s="21">
        <v>0</v>
      </c>
      <c r="M132" s="21">
        <v>0</v>
      </c>
      <c r="N132" s="21">
        <v>0</v>
      </c>
      <c r="O132" s="21">
        <v>0</v>
      </c>
      <c r="P132" s="21">
        <v>0</v>
      </c>
      <c r="Q132" s="21">
        <v>0</v>
      </c>
      <c r="R132" s="21">
        <v>0</v>
      </c>
      <c r="S132" s="21">
        <v>0</v>
      </c>
      <c r="T132" s="21">
        <v>0</v>
      </c>
      <c r="U132" s="21">
        <v>0</v>
      </c>
      <c r="V132" s="21">
        <v>0</v>
      </c>
      <c r="W132" s="21">
        <v>0</v>
      </c>
      <c r="X132" s="21">
        <v>0</v>
      </c>
      <c r="Y132" s="21">
        <v>0</v>
      </c>
      <c r="Z132" s="21">
        <v>0</v>
      </c>
      <c r="AA132" s="21">
        <v>0</v>
      </c>
      <c r="AB132" s="21">
        <v>0</v>
      </c>
      <c r="AC132" s="21">
        <v>0</v>
      </c>
      <c r="AD132" s="21">
        <v>0</v>
      </c>
      <c r="AE132" s="21">
        <v>0</v>
      </c>
      <c r="AF132" s="21">
        <v>0</v>
      </c>
      <c r="AG132" s="21">
        <v>0</v>
      </c>
      <c r="AH132" s="21">
        <v>0</v>
      </c>
      <c r="AI132" s="21">
        <v>0</v>
      </c>
      <c r="AJ132" s="21">
        <v>0</v>
      </c>
      <c r="AK132" s="21">
        <v>0</v>
      </c>
      <c r="AL132" s="21">
        <v>0</v>
      </c>
      <c r="AM132" s="21">
        <v>0</v>
      </c>
      <c r="AN132" s="21">
        <v>0</v>
      </c>
      <c r="AO132" s="21">
        <v>0</v>
      </c>
      <c r="AP132" s="21">
        <v>0</v>
      </c>
      <c r="AQ132" s="21">
        <v>0</v>
      </c>
      <c r="AR132" s="21">
        <v>0</v>
      </c>
      <c r="AS132" s="21">
        <v>0</v>
      </c>
      <c r="AT132" s="21">
        <v>0</v>
      </c>
      <c r="AU132" s="21">
        <v>0</v>
      </c>
      <c r="AV132" s="21">
        <v>0</v>
      </c>
      <c r="AW132" s="21">
        <v>0</v>
      </c>
      <c r="AX132" s="21">
        <v>0</v>
      </c>
      <c r="AY132" s="21">
        <v>0</v>
      </c>
      <c r="AZ132" s="22">
        <v>0</v>
      </c>
      <c r="BA132" s="22" t="e">
        <f>MAX(#REF!-AZ132,0)</f>
        <v>#REF!</v>
      </c>
      <c r="BB132" s="23" t="e">
        <f>IF(SUMPRODUCT($J$85:BA$85,$J132:BA132)&lt;0.5, "Pending", IF(BA132&lt;0.5, "Complete", "In Progress"))</f>
        <v>#REF!</v>
      </c>
      <c r="BC132" s="22">
        <v>0</v>
      </c>
      <c r="BD132" s="22" t="e">
        <f t="shared" si="18"/>
        <v>#REF!</v>
      </c>
      <c r="BE132" s="23" t="e">
        <f>IF(SUMPRODUCT($J$85:BD$85,$J132:BD132)&lt;0.5, "Pending", IF(BD132&lt;0.5, "Complete", "In Progress"))</f>
        <v>#REF!</v>
      </c>
      <c r="BF132" s="22">
        <v>0</v>
      </c>
      <c r="BG132" s="22" t="e">
        <f t="shared" si="19"/>
        <v>#REF!</v>
      </c>
      <c r="BH132" s="23" t="e">
        <f>IF(SUMPRODUCT($J$85:BG$85,$J132:BG132)&lt;0.5, "Pending", IF(BG132&lt;0.5, "Complete", "In Progress"))</f>
        <v>#REF!</v>
      </c>
      <c r="BI132" s="22">
        <v>0</v>
      </c>
      <c r="BJ132" s="22" t="e">
        <f t="shared" si="20"/>
        <v>#REF!</v>
      </c>
      <c r="BK132" s="23" t="e">
        <f>IF(SUMPRODUCT($J$85:BJ$85,$J132:BJ132)&lt;0.5, "Pending", IF(BJ132&lt;0.5, "Complete", "In Progress"))</f>
        <v>#REF!</v>
      </c>
      <c r="BL132" s="22">
        <v>0</v>
      </c>
      <c r="BM132" s="22" t="e">
        <f t="shared" si="21"/>
        <v>#REF!</v>
      </c>
      <c r="BN132" s="23" t="e">
        <f>IF(SUMPRODUCT($J$85:BM$85,$J132:BM132)&lt;0.5, "Pending", IF(BM132&lt;0.5, "Complete", "In Progress"))</f>
        <v>#REF!</v>
      </c>
      <c r="BO132" s="22">
        <v>0</v>
      </c>
      <c r="BP132" s="22" t="e">
        <f t="shared" si="22"/>
        <v>#REF!</v>
      </c>
      <c r="BQ132" s="23" t="e">
        <f>IF(SUMPRODUCT($J$85:BP$85,$J132:BP132)&lt;0.5, "Pending", IF(BP132&lt;0.5, "Complete", "In Progress"))</f>
        <v>#REF!</v>
      </c>
      <c r="BR132" s="22">
        <v>0</v>
      </c>
      <c r="BS132" s="22" t="e">
        <f t="shared" si="23"/>
        <v>#REF!</v>
      </c>
      <c r="BT132" s="23" t="e">
        <f>IF(SUMPRODUCT($J$85:BS$85,$J132:BS132)&lt;0.5, "Pending", IF(BS132&lt;0.5, "Complete", "In Progress"))</f>
        <v>#REF!</v>
      </c>
      <c r="BU132" s="22">
        <v>0</v>
      </c>
      <c r="BV132" s="22" t="e">
        <f t="shared" si="24"/>
        <v>#REF!</v>
      </c>
      <c r="BW132" s="23" t="e">
        <f>IF(SUMPRODUCT($J$85:BV$85,$J132:BV132)&lt;0.5, "Pending", IF(BV132&lt;0.5, "Complete", "In Progress"))</f>
        <v>#REF!</v>
      </c>
      <c r="BX132" s="22">
        <v>0</v>
      </c>
      <c r="BY132" s="22" t="e">
        <f t="shared" si="25"/>
        <v>#REF!</v>
      </c>
      <c r="BZ132" s="23" t="e">
        <f>IF(SUMPRODUCT($J$85:BY$85,$J132:BY132)&lt;0.5, "Pending", IF(BY132&lt;0.5, "Complete", "In Progress"))</f>
        <v>#REF!</v>
      </c>
      <c r="CA132" s="22">
        <v>0</v>
      </c>
      <c r="CB132" s="22" t="e">
        <f t="shared" si="26"/>
        <v>#REF!</v>
      </c>
      <c r="CC132" s="23" t="e">
        <f>IF(SUMPRODUCT($J$85:CB$85,$J132:CB132)&lt;0.5, "Pending", IF(CB132&lt;0.5, "Complete", "In Progress"))</f>
        <v>#REF!</v>
      </c>
      <c r="CD132" s="24"/>
      <c r="CE132" s="25">
        <f>SUMPRODUCT($H$85:AY$85,$H132:AY132)</f>
        <v>43</v>
      </c>
    </row>
    <row r="133" spans="1:83" ht="13.8" customHeight="1" x14ac:dyDescent="0.25">
      <c r="A133" s="16" t="s">
        <v>103</v>
      </c>
      <c r="B133" s="16" t="s">
        <v>120</v>
      </c>
      <c r="C133" s="16" t="s">
        <v>516</v>
      </c>
      <c r="D133" s="17" t="s">
        <v>243</v>
      </c>
      <c r="E133" s="158" t="s">
        <v>428</v>
      </c>
      <c r="F133" s="158" t="s">
        <v>497</v>
      </c>
      <c r="G133" s="19"/>
      <c r="H133" s="20">
        <v>1</v>
      </c>
      <c r="I133" s="21">
        <v>6</v>
      </c>
      <c r="J133" s="21">
        <v>0</v>
      </c>
      <c r="K133" s="21">
        <v>0</v>
      </c>
      <c r="L133" s="21">
        <v>0</v>
      </c>
      <c r="M133" s="21">
        <v>0</v>
      </c>
      <c r="N133" s="21">
        <v>0</v>
      </c>
      <c r="O133" s="21">
        <v>0</v>
      </c>
      <c r="P133" s="21">
        <v>0</v>
      </c>
      <c r="Q133" s="21">
        <v>0</v>
      </c>
      <c r="R133" s="21">
        <v>0</v>
      </c>
      <c r="S133" s="21">
        <v>0</v>
      </c>
      <c r="T133" s="21">
        <v>0</v>
      </c>
      <c r="U133" s="21">
        <v>0</v>
      </c>
      <c r="V133" s="21">
        <v>0</v>
      </c>
      <c r="W133" s="21">
        <v>0</v>
      </c>
      <c r="X133" s="21">
        <v>0</v>
      </c>
      <c r="Y133" s="21">
        <v>0</v>
      </c>
      <c r="Z133" s="21">
        <v>0</v>
      </c>
      <c r="AA133" s="21">
        <v>0</v>
      </c>
      <c r="AB133" s="21">
        <v>0</v>
      </c>
      <c r="AC133" s="21">
        <v>0</v>
      </c>
      <c r="AD133" s="21">
        <v>0</v>
      </c>
      <c r="AE133" s="21">
        <v>0</v>
      </c>
      <c r="AF133" s="21">
        <v>0</v>
      </c>
      <c r="AG133" s="21">
        <v>0</v>
      </c>
      <c r="AH133" s="21">
        <v>0</v>
      </c>
      <c r="AI133" s="21">
        <v>0</v>
      </c>
      <c r="AJ133" s="21">
        <v>0</v>
      </c>
      <c r="AK133" s="21">
        <v>0</v>
      </c>
      <c r="AL133" s="21">
        <v>0</v>
      </c>
      <c r="AM133" s="21">
        <v>0</v>
      </c>
      <c r="AN133" s="21">
        <v>0</v>
      </c>
      <c r="AO133" s="21">
        <v>0</v>
      </c>
      <c r="AP133" s="21">
        <v>0</v>
      </c>
      <c r="AQ133" s="21">
        <v>0</v>
      </c>
      <c r="AR133" s="21">
        <v>0</v>
      </c>
      <c r="AS133" s="21">
        <v>0</v>
      </c>
      <c r="AT133" s="21">
        <v>0</v>
      </c>
      <c r="AU133" s="21">
        <v>0</v>
      </c>
      <c r="AV133" s="21">
        <v>0</v>
      </c>
      <c r="AW133" s="21">
        <v>0</v>
      </c>
      <c r="AX133" s="21">
        <v>0</v>
      </c>
      <c r="AY133" s="21">
        <v>0</v>
      </c>
      <c r="AZ133" s="22">
        <v>0</v>
      </c>
      <c r="BA133" s="22" t="e">
        <f>MAX(#REF!-AZ133,0)</f>
        <v>#REF!</v>
      </c>
      <c r="BB133" s="23" t="e">
        <f>IF(SUMPRODUCT($J$85:BA$85,$J133:BA133)&lt;0.5, "Pending", IF(BA133&lt;0.5, "Complete", "In Progress"))</f>
        <v>#REF!</v>
      </c>
      <c r="BC133" s="22">
        <v>0</v>
      </c>
      <c r="BD133" s="22" t="e">
        <f t="shared" si="18"/>
        <v>#REF!</v>
      </c>
      <c r="BE133" s="23" t="e">
        <f>IF(SUMPRODUCT($J$85:BD$85,$J133:BD133)&lt;0.5, "Pending", IF(BD133&lt;0.5, "Complete", "In Progress"))</f>
        <v>#REF!</v>
      </c>
      <c r="BF133" s="22">
        <v>0</v>
      </c>
      <c r="BG133" s="22" t="e">
        <f t="shared" si="19"/>
        <v>#REF!</v>
      </c>
      <c r="BH133" s="23" t="e">
        <f>IF(SUMPRODUCT($J$85:BG$85,$J133:BG133)&lt;0.5, "Pending", IF(BG133&lt;0.5, "Complete", "In Progress"))</f>
        <v>#REF!</v>
      </c>
      <c r="BI133" s="22">
        <v>0</v>
      </c>
      <c r="BJ133" s="22" t="e">
        <f t="shared" si="20"/>
        <v>#REF!</v>
      </c>
      <c r="BK133" s="23" t="e">
        <f>IF(SUMPRODUCT($J$85:BJ$85,$J133:BJ133)&lt;0.5, "Pending", IF(BJ133&lt;0.5, "Complete", "In Progress"))</f>
        <v>#REF!</v>
      </c>
      <c r="BL133" s="22">
        <v>0</v>
      </c>
      <c r="BM133" s="22" t="e">
        <f t="shared" si="21"/>
        <v>#REF!</v>
      </c>
      <c r="BN133" s="23" t="e">
        <f>IF(SUMPRODUCT($J$85:BM$85,$J133:BM133)&lt;0.5, "Pending", IF(BM133&lt;0.5, "Complete", "In Progress"))</f>
        <v>#REF!</v>
      </c>
      <c r="BO133" s="22">
        <v>0</v>
      </c>
      <c r="BP133" s="22" t="e">
        <f t="shared" si="22"/>
        <v>#REF!</v>
      </c>
      <c r="BQ133" s="23" t="e">
        <f>IF(SUMPRODUCT($J$85:BP$85,$J133:BP133)&lt;0.5, "Pending", IF(BP133&lt;0.5, "Complete", "In Progress"))</f>
        <v>#REF!</v>
      </c>
      <c r="BR133" s="22">
        <v>0</v>
      </c>
      <c r="BS133" s="22" t="e">
        <f t="shared" si="23"/>
        <v>#REF!</v>
      </c>
      <c r="BT133" s="23" t="e">
        <f>IF(SUMPRODUCT($J$85:BS$85,$J133:BS133)&lt;0.5, "Pending", IF(BS133&lt;0.5, "Complete", "In Progress"))</f>
        <v>#REF!</v>
      </c>
      <c r="BU133" s="22">
        <v>0</v>
      </c>
      <c r="BV133" s="22" t="e">
        <f t="shared" si="24"/>
        <v>#REF!</v>
      </c>
      <c r="BW133" s="23" t="e">
        <f>IF(SUMPRODUCT($J$85:BV$85,$J133:BV133)&lt;0.5, "Pending", IF(BV133&lt;0.5, "Complete", "In Progress"))</f>
        <v>#REF!</v>
      </c>
      <c r="BX133" s="22">
        <v>0</v>
      </c>
      <c r="BY133" s="22" t="e">
        <f t="shared" si="25"/>
        <v>#REF!</v>
      </c>
      <c r="BZ133" s="23" t="e">
        <f>IF(SUMPRODUCT($J$85:BY$85,$J133:BY133)&lt;0.5, "Pending", IF(BY133&lt;0.5, "Complete", "In Progress"))</f>
        <v>#REF!</v>
      </c>
      <c r="CA133" s="22">
        <v>0</v>
      </c>
      <c r="CB133" s="22" t="e">
        <f t="shared" si="26"/>
        <v>#REF!</v>
      </c>
      <c r="CC133" s="23" t="e">
        <f>IF(SUMPRODUCT($J$85:CB$85,$J133:CB133)&lt;0.5, "Pending", IF(CB133&lt;0.5, "Complete", "In Progress"))</f>
        <v>#REF!</v>
      </c>
      <c r="CD133" s="24"/>
      <c r="CE133" s="25">
        <f>SUMPRODUCT($H$85:AY$85,$H133:AY133)</f>
        <v>43</v>
      </c>
    </row>
    <row r="134" spans="1:83" ht="13.8" customHeight="1" x14ac:dyDescent="0.25">
      <c r="A134" s="16" t="s">
        <v>104</v>
      </c>
      <c r="B134" s="16" t="s">
        <v>122</v>
      </c>
      <c r="C134" s="16" t="s">
        <v>516</v>
      </c>
      <c r="D134" s="17" t="s">
        <v>244</v>
      </c>
      <c r="E134" s="158" t="s">
        <v>429</v>
      </c>
      <c r="F134" s="158" t="s">
        <v>498</v>
      </c>
      <c r="G134" s="19"/>
      <c r="H134" s="20">
        <v>1</v>
      </c>
      <c r="I134" s="21">
        <v>6</v>
      </c>
      <c r="J134" s="21">
        <v>0</v>
      </c>
      <c r="K134" s="21">
        <v>0</v>
      </c>
      <c r="L134" s="21">
        <v>0</v>
      </c>
      <c r="M134" s="21">
        <v>0</v>
      </c>
      <c r="N134" s="21">
        <v>0</v>
      </c>
      <c r="O134" s="21">
        <v>0</v>
      </c>
      <c r="P134" s="21">
        <v>0</v>
      </c>
      <c r="Q134" s="21">
        <v>0</v>
      </c>
      <c r="R134" s="21">
        <v>0</v>
      </c>
      <c r="S134" s="21">
        <v>0</v>
      </c>
      <c r="T134" s="21">
        <v>0</v>
      </c>
      <c r="U134" s="21">
        <v>0</v>
      </c>
      <c r="V134" s="21">
        <v>0</v>
      </c>
      <c r="W134" s="21">
        <v>0</v>
      </c>
      <c r="X134" s="21">
        <v>0</v>
      </c>
      <c r="Y134" s="21">
        <v>0</v>
      </c>
      <c r="Z134" s="21">
        <v>0</v>
      </c>
      <c r="AA134" s="21">
        <v>0</v>
      </c>
      <c r="AB134" s="21">
        <v>0</v>
      </c>
      <c r="AC134" s="21">
        <v>0</v>
      </c>
      <c r="AD134" s="21">
        <v>0</v>
      </c>
      <c r="AE134" s="21">
        <v>0</v>
      </c>
      <c r="AF134" s="21">
        <v>0</v>
      </c>
      <c r="AG134" s="21">
        <v>0</v>
      </c>
      <c r="AH134" s="21">
        <v>0</v>
      </c>
      <c r="AI134" s="21">
        <v>0</v>
      </c>
      <c r="AJ134" s="21">
        <v>0</v>
      </c>
      <c r="AK134" s="21">
        <v>0</v>
      </c>
      <c r="AL134" s="21">
        <v>0</v>
      </c>
      <c r="AM134" s="21">
        <v>0</v>
      </c>
      <c r="AN134" s="21">
        <v>0</v>
      </c>
      <c r="AO134" s="21">
        <v>0</v>
      </c>
      <c r="AP134" s="21">
        <v>0</v>
      </c>
      <c r="AQ134" s="21">
        <v>0</v>
      </c>
      <c r="AR134" s="21">
        <v>0</v>
      </c>
      <c r="AS134" s="21">
        <v>0</v>
      </c>
      <c r="AT134" s="21">
        <v>0</v>
      </c>
      <c r="AU134" s="21">
        <v>0</v>
      </c>
      <c r="AV134" s="21">
        <v>0</v>
      </c>
      <c r="AW134" s="21">
        <v>0</v>
      </c>
      <c r="AX134" s="21">
        <v>0</v>
      </c>
      <c r="AY134" s="21">
        <v>0</v>
      </c>
      <c r="AZ134" s="22">
        <v>0</v>
      </c>
      <c r="BA134" s="22" t="e">
        <f>MAX(#REF!-AZ134,0)</f>
        <v>#REF!</v>
      </c>
      <c r="BB134" s="23" t="e">
        <f>IF(SUMPRODUCT($J$85:BA$85,$J134:BA134)&lt;0.5, "Pending", IF(BA134&lt;0.5, "Complete", "In Progress"))</f>
        <v>#REF!</v>
      </c>
      <c r="BC134" s="22">
        <v>0</v>
      </c>
      <c r="BD134" s="22" t="e">
        <f t="shared" si="18"/>
        <v>#REF!</v>
      </c>
      <c r="BE134" s="23" t="e">
        <f>IF(SUMPRODUCT($J$85:BD$85,$J134:BD134)&lt;0.5, "Pending", IF(BD134&lt;0.5, "Complete", "In Progress"))</f>
        <v>#REF!</v>
      </c>
      <c r="BF134" s="22">
        <v>0</v>
      </c>
      <c r="BG134" s="22" t="e">
        <f t="shared" si="19"/>
        <v>#REF!</v>
      </c>
      <c r="BH134" s="23" t="e">
        <f>IF(SUMPRODUCT($J$85:BG$85,$J134:BG134)&lt;0.5, "Pending", IF(BG134&lt;0.5, "Complete", "In Progress"))</f>
        <v>#REF!</v>
      </c>
      <c r="BI134" s="22">
        <v>0</v>
      </c>
      <c r="BJ134" s="22" t="e">
        <f t="shared" si="20"/>
        <v>#REF!</v>
      </c>
      <c r="BK134" s="23" t="e">
        <f>IF(SUMPRODUCT($J$85:BJ$85,$J134:BJ134)&lt;0.5, "Pending", IF(BJ134&lt;0.5, "Complete", "In Progress"))</f>
        <v>#REF!</v>
      </c>
      <c r="BL134" s="22">
        <v>0</v>
      </c>
      <c r="BM134" s="22" t="e">
        <f t="shared" si="21"/>
        <v>#REF!</v>
      </c>
      <c r="BN134" s="23" t="e">
        <f>IF(SUMPRODUCT($J$85:BM$85,$J134:BM134)&lt;0.5, "Pending", IF(BM134&lt;0.5, "Complete", "In Progress"))</f>
        <v>#REF!</v>
      </c>
      <c r="BO134" s="22">
        <v>0</v>
      </c>
      <c r="BP134" s="22" t="e">
        <f t="shared" si="22"/>
        <v>#REF!</v>
      </c>
      <c r="BQ134" s="23" t="e">
        <f>IF(SUMPRODUCT($J$85:BP$85,$J134:BP134)&lt;0.5, "Pending", IF(BP134&lt;0.5, "Complete", "In Progress"))</f>
        <v>#REF!</v>
      </c>
      <c r="BR134" s="22">
        <v>0</v>
      </c>
      <c r="BS134" s="22" t="e">
        <f t="shared" si="23"/>
        <v>#REF!</v>
      </c>
      <c r="BT134" s="23" t="e">
        <f>IF(SUMPRODUCT($J$85:BS$85,$J134:BS134)&lt;0.5, "Pending", IF(BS134&lt;0.5, "Complete", "In Progress"))</f>
        <v>#REF!</v>
      </c>
      <c r="BU134" s="22">
        <v>0</v>
      </c>
      <c r="BV134" s="22" t="e">
        <f t="shared" si="24"/>
        <v>#REF!</v>
      </c>
      <c r="BW134" s="23" t="e">
        <f>IF(SUMPRODUCT($J$85:BV$85,$J134:BV134)&lt;0.5, "Pending", IF(BV134&lt;0.5, "Complete", "In Progress"))</f>
        <v>#REF!</v>
      </c>
      <c r="BX134" s="22">
        <v>0</v>
      </c>
      <c r="BY134" s="22" t="e">
        <f t="shared" si="25"/>
        <v>#REF!</v>
      </c>
      <c r="BZ134" s="23" t="e">
        <f>IF(SUMPRODUCT($J$85:BY$85,$J134:BY134)&lt;0.5, "Pending", IF(BY134&lt;0.5, "Complete", "In Progress"))</f>
        <v>#REF!</v>
      </c>
      <c r="CA134" s="22">
        <v>0</v>
      </c>
      <c r="CB134" s="22" t="e">
        <f t="shared" si="26"/>
        <v>#REF!</v>
      </c>
      <c r="CC134" s="23" t="e">
        <f>IF(SUMPRODUCT($J$85:CB$85,$J134:CB134)&lt;0.5, "Pending", IF(CB134&lt;0.5, "Complete", "In Progress"))</f>
        <v>#REF!</v>
      </c>
      <c r="CD134" s="24"/>
      <c r="CE134" s="25">
        <f>SUMPRODUCT($H$85:AY$85,$H134:AY134)</f>
        <v>43</v>
      </c>
    </row>
    <row r="135" spans="1:83" ht="13.8" customHeight="1" x14ac:dyDescent="0.25">
      <c r="A135" s="16" t="s">
        <v>104</v>
      </c>
      <c r="B135" s="16" t="s">
        <v>122</v>
      </c>
      <c r="C135" s="16" t="s">
        <v>516</v>
      </c>
      <c r="D135" s="17" t="s">
        <v>245</v>
      </c>
      <c r="E135" s="158" t="s">
        <v>430</v>
      </c>
      <c r="F135" s="158" t="s">
        <v>496</v>
      </c>
      <c r="G135" s="19"/>
      <c r="H135" s="20">
        <v>1</v>
      </c>
      <c r="I135" s="21">
        <v>6</v>
      </c>
      <c r="J135" s="21">
        <v>0</v>
      </c>
      <c r="K135" s="21">
        <v>0</v>
      </c>
      <c r="L135" s="21">
        <v>0</v>
      </c>
      <c r="M135" s="21">
        <v>0</v>
      </c>
      <c r="N135" s="21">
        <v>0</v>
      </c>
      <c r="O135" s="21">
        <v>0</v>
      </c>
      <c r="P135" s="21">
        <v>0</v>
      </c>
      <c r="Q135" s="21">
        <v>0</v>
      </c>
      <c r="R135" s="21">
        <v>0</v>
      </c>
      <c r="S135" s="21">
        <v>0</v>
      </c>
      <c r="T135" s="21">
        <v>0</v>
      </c>
      <c r="U135" s="21">
        <v>0</v>
      </c>
      <c r="V135" s="21">
        <v>0</v>
      </c>
      <c r="W135" s="21">
        <v>0</v>
      </c>
      <c r="X135" s="21">
        <v>0</v>
      </c>
      <c r="Y135" s="21">
        <v>0</v>
      </c>
      <c r="Z135" s="21">
        <v>0</v>
      </c>
      <c r="AA135" s="21">
        <v>0</v>
      </c>
      <c r="AB135" s="21">
        <v>0</v>
      </c>
      <c r="AC135" s="21">
        <v>0</v>
      </c>
      <c r="AD135" s="21">
        <v>0</v>
      </c>
      <c r="AE135" s="21">
        <v>0</v>
      </c>
      <c r="AF135" s="21">
        <v>0</v>
      </c>
      <c r="AG135" s="21">
        <v>0</v>
      </c>
      <c r="AH135" s="21">
        <v>0</v>
      </c>
      <c r="AI135" s="21">
        <v>0</v>
      </c>
      <c r="AJ135" s="21">
        <v>0</v>
      </c>
      <c r="AK135" s="21">
        <v>0</v>
      </c>
      <c r="AL135" s="21">
        <v>0</v>
      </c>
      <c r="AM135" s="21">
        <v>0</v>
      </c>
      <c r="AN135" s="21">
        <v>0</v>
      </c>
      <c r="AO135" s="21">
        <v>0</v>
      </c>
      <c r="AP135" s="21">
        <v>0</v>
      </c>
      <c r="AQ135" s="21">
        <v>0</v>
      </c>
      <c r="AR135" s="21">
        <v>0</v>
      </c>
      <c r="AS135" s="21">
        <v>0</v>
      </c>
      <c r="AT135" s="21">
        <v>0</v>
      </c>
      <c r="AU135" s="21">
        <v>0</v>
      </c>
      <c r="AV135" s="21">
        <v>0</v>
      </c>
      <c r="AW135" s="21">
        <v>0</v>
      </c>
      <c r="AX135" s="21">
        <v>0</v>
      </c>
      <c r="AY135" s="21">
        <v>0</v>
      </c>
      <c r="AZ135" s="22">
        <v>0</v>
      </c>
      <c r="BA135" s="22" t="e">
        <f>MAX(#REF!-AZ135,0)</f>
        <v>#REF!</v>
      </c>
      <c r="BB135" s="23" t="e">
        <f>IF(SUMPRODUCT($J$85:BA$85,$J135:BA135)&lt;0.5, "Pending", IF(BA135&lt;0.5, "Complete", "In Progress"))</f>
        <v>#REF!</v>
      </c>
      <c r="BC135" s="22">
        <v>0</v>
      </c>
      <c r="BD135" s="22" t="e">
        <f t="shared" si="18"/>
        <v>#REF!</v>
      </c>
      <c r="BE135" s="23" t="e">
        <f>IF(SUMPRODUCT($J$85:BD$85,$J135:BD135)&lt;0.5, "Pending", IF(BD135&lt;0.5, "Complete", "In Progress"))</f>
        <v>#REF!</v>
      </c>
      <c r="BF135" s="22">
        <v>0</v>
      </c>
      <c r="BG135" s="22" t="e">
        <f t="shared" si="19"/>
        <v>#REF!</v>
      </c>
      <c r="BH135" s="23" t="e">
        <f>IF(SUMPRODUCT($J$85:BG$85,$J135:BG135)&lt;0.5, "Pending", IF(BG135&lt;0.5, "Complete", "In Progress"))</f>
        <v>#REF!</v>
      </c>
      <c r="BI135" s="22">
        <v>0</v>
      </c>
      <c r="BJ135" s="22" t="e">
        <f t="shared" si="20"/>
        <v>#REF!</v>
      </c>
      <c r="BK135" s="23" t="e">
        <f>IF(SUMPRODUCT($J$85:BJ$85,$J135:BJ135)&lt;0.5, "Pending", IF(BJ135&lt;0.5, "Complete", "In Progress"))</f>
        <v>#REF!</v>
      </c>
      <c r="BL135" s="22">
        <v>0</v>
      </c>
      <c r="BM135" s="22" t="e">
        <f t="shared" si="21"/>
        <v>#REF!</v>
      </c>
      <c r="BN135" s="23" t="e">
        <f>IF(SUMPRODUCT($J$85:BM$85,$J135:BM135)&lt;0.5, "Pending", IF(BM135&lt;0.5, "Complete", "In Progress"))</f>
        <v>#REF!</v>
      </c>
      <c r="BO135" s="22">
        <v>0</v>
      </c>
      <c r="BP135" s="22" t="e">
        <f t="shared" si="22"/>
        <v>#REF!</v>
      </c>
      <c r="BQ135" s="23" t="e">
        <f>IF(SUMPRODUCT($J$85:BP$85,$J135:BP135)&lt;0.5, "Pending", IF(BP135&lt;0.5, "Complete", "In Progress"))</f>
        <v>#REF!</v>
      </c>
      <c r="BR135" s="22">
        <v>0</v>
      </c>
      <c r="BS135" s="22" t="e">
        <f t="shared" si="23"/>
        <v>#REF!</v>
      </c>
      <c r="BT135" s="23" t="e">
        <f>IF(SUMPRODUCT($J$85:BS$85,$J135:BS135)&lt;0.5, "Pending", IF(BS135&lt;0.5, "Complete", "In Progress"))</f>
        <v>#REF!</v>
      </c>
      <c r="BU135" s="22">
        <v>0</v>
      </c>
      <c r="BV135" s="22" t="e">
        <f t="shared" si="24"/>
        <v>#REF!</v>
      </c>
      <c r="BW135" s="23" t="e">
        <f>IF(SUMPRODUCT($J$85:BV$85,$J135:BV135)&lt;0.5, "Pending", IF(BV135&lt;0.5, "Complete", "In Progress"))</f>
        <v>#REF!</v>
      </c>
      <c r="BX135" s="22">
        <v>0</v>
      </c>
      <c r="BY135" s="22" t="e">
        <f t="shared" si="25"/>
        <v>#REF!</v>
      </c>
      <c r="BZ135" s="23" t="e">
        <f>IF(SUMPRODUCT($J$85:BY$85,$J135:BY135)&lt;0.5, "Pending", IF(BY135&lt;0.5, "Complete", "In Progress"))</f>
        <v>#REF!</v>
      </c>
      <c r="CA135" s="22">
        <v>0</v>
      </c>
      <c r="CB135" s="22" t="e">
        <f t="shared" si="26"/>
        <v>#REF!</v>
      </c>
      <c r="CC135" s="23" t="e">
        <f>IF(SUMPRODUCT($J$85:CB$85,$J135:CB135)&lt;0.5, "Pending", IF(CB135&lt;0.5, "Complete", "In Progress"))</f>
        <v>#REF!</v>
      </c>
      <c r="CD135" s="24"/>
      <c r="CE135" s="25">
        <f>SUMPRODUCT($H$85:AY$85,$H135:AY135)</f>
        <v>43</v>
      </c>
    </row>
    <row r="136" spans="1:83" ht="13.8" customHeight="1" x14ac:dyDescent="0.25">
      <c r="A136" s="16" t="s">
        <v>103</v>
      </c>
      <c r="B136" s="16" t="s">
        <v>114</v>
      </c>
      <c r="C136" s="16" t="s">
        <v>516</v>
      </c>
      <c r="D136" s="17" t="s">
        <v>246</v>
      </c>
      <c r="E136" s="158" t="s">
        <v>431</v>
      </c>
      <c r="F136" s="158" t="s">
        <v>495</v>
      </c>
      <c r="G136" s="169"/>
      <c r="H136" s="20">
        <v>1</v>
      </c>
      <c r="I136" s="21">
        <v>6</v>
      </c>
      <c r="J136" s="21">
        <v>0</v>
      </c>
      <c r="K136" s="21">
        <v>0</v>
      </c>
      <c r="L136" s="21">
        <v>0</v>
      </c>
      <c r="M136" s="21">
        <v>0</v>
      </c>
      <c r="N136" s="21">
        <v>0</v>
      </c>
      <c r="O136" s="21">
        <v>0</v>
      </c>
      <c r="P136" s="21">
        <v>0</v>
      </c>
      <c r="Q136" s="21">
        <v>0</v>
      </c>
      <c r="R136" s="21">
        <v>0</v>
      </c>
      <c r="S136" s="21">
        <v>0</v>
      </c>
      <c r="T136" s="21">
        <v>0</v>
      </c>
      <c r="U136" s="21">
        <v>0</v>
      </c>
      <c r="V136" s="21">
        <v>0</v>
      </c>
      <c r="W136" s="21">
        <v>0</v>
      </c>
      <c r="X136" s="21">
        <v>0</v>
      </c>
      <c r="Y136" s="21">
        <v>0</v>
      </c>
      <c r="Z136" s="21">
        <v>0</v>
      </c>
      <c r="AA136" s="21">
        <v>0</v>
      </c>
      <c r="AB136" s="21">
        <v>0</v>
      </c>
      <c r="AC136" s="21">
        <v>0</v>
      </c>
      <c r="AD136" s="21">
        <v>0</v>
      </c>
      <c r="AE136" s="21">
        <v>0</v>
      </c>
      <c r="AF136" s="21">
        <v>0</v>
      </c>
      <c r="AG136" s="21">
        <v>0</v>
      </c>
      <c r="AH136" s="21">
        <v>0</v>
      </c>
      <c r="AI136" s="21">
        <v>0</v>
      </c>
      <c r="AJ136" s="21">
        <v>0</v>
      </c>
      <c r="AK136" s="21">
        <v>0</v>
      </c>
      <c r="AL136" s="21">
        <v>0</v>
      </c>
      <c r="AM136" s="21">
        <v>0</v>
      </c>
      <c r="AN136" s="21">
        <v>0</v>
      </c>
      <c r="AO136" s="21">
        <v>0</v>
      </c>
      <c r="AP136" s="21">
        <v>0</v>
      </c>
      <c r="AQ136" s="21">
        <v>0</v>
      </c>
      <c r="AR136" s="21">
        <v>0</v>
      </c>
      <c r="AS136" s="21">
        <v>0</v>
      </c>
      <c r="AT136" s="21">
        <v>0</v>
      </c>
      <c r="AU136" s="21">
        <v>0</v>
      </c>
      <c r="AV136" s="21">
        <v>0</v>
      </c>
      <c r="AW136" s="21">
        <v>0</v>
      </c>
      <c r="AX136" s="21">
        <v>0</v>
      </c>
      <c r="AY136" s="21">
        <v>0</v>
      </c>
      <c r="AZ136" s="22">
        <v>0</v>
      </c>
      <c r="BA136" s="22" t="e">
        <f>MAX(#REF!-AZ136,0)</f>
        <v>#REF!</v>
      </c>
      <c r="BB136" s="23" t="e">
        <f>IF(SUMPRODUCT($J$85:BA$85,$J136:BA136)&lt;0.5, "Pending", IF(BA136&lt;0.5, "Complete", "In Progress"))</f>
        <v>#REF!</v>
      </c>
      <c r="BC136" s="22">
        <v>0</v>
      </c>
      <c r="BD136" s="22" t="e">
        <f t="shared" si="18"/>
        <v>#REF!</v>
      </c>
      <c r="BE136" s="23" t="e">
        <f>IF(SUMPRODUCT($J$85:BD$85,$J136:BD136)&lt;0.5, "Pending", IF(BD136&lt;0.5, "Complete", "In Progress"))</f>
        <v>#REF!</v>
      </c>
      <c r="BF136" s="22">
        <v>0</v>
      </c>
      <c r="BG136" s="22" t="e">
        <f t="shared" si="19"/>
        <v>#REF!</v>
      </c>
      <c r="BH136" s="23" t="e">
        <f>IF(SUMPRODUCT($J$85:BG$85,$J136:BG136)&lt;0.5, "Pending", IF(BG136&lt;0.5, "Complete", "In Progress"))</f>
        <v>#REF!</v>
      </c>
      <c r="BI136" s="22">
        <v>0</v>
      </c>
      <c r="BJ136" s="22" t="e">
        <f t="shared" si="20"/>
        <v>#REF!</v>
      </c>
      <c r="BK136" s="23" t="e">
        <f>IF(SUMPRODUCT($J$85:BJ$85,$J136:BJ136)&lt;0.5, "Pending", IF(BJ136&lt;0.5, "Complete", "In Progress"))</f>
        <v>#REF!</v>
      </c>
      <c r="BL136" s="22">
        <v>0</v>
      </c>
      <c r="BM136" s="22" t="e">
        <f t="shared" si="21"/>
        <v>#REF!</v>
      </c>
      <c r="BN136" s="23" t="e">
        <f>IF(SUMPRODUCT($J$85:BM$85,$J136:BM136)&lt;0.5, "Pending", IF(BM136&lt;0.5, "Complete", "In Progress"))</f>
        <v>#REF!</v>
      </c>
      <c r="BO136" s="22">
        <v>0</v>
      </c>
      <c r="BP136" s="22" t="e">
        <f t="shared" si="22"/>
        <v>#REF!</v>
      </c>
      <c r="BQ136" s="23" t="e">
        <f>IF(SUMPRODUCT($J$85:BP$85,$J136:BP136)&lt;0.5, "Pending", IF(BP136&lt;0.5, "Complete", "In Progress"))</f>
        <v>#REF!</v>
      </c>
      <c r="BR136" s="22">
        <v>0</v>
      </c>
      <c r="BS136" s="22" t="e">
        <f t="shared" si="23"/>
        <v>#REF!</v>
      </c>
      <c r="BT136" s="23" t="e">
        <f>IF(SUMPRODUCT($J$85:BS$85,$J136:BS136)&lt;0.5, "Pending", IF(BS136&lt;0.5, "Complete", "In Progress"))</f>
        <v>#REF!</v>
      </c>
      <c r="BU136" s="22">
        <v>0</v>
      </c>
      <c r="BV136" s="22" t="e">
        <f t="shared" si="24"/>
        <v>#REF!</v>
      </c>
      <c r="BW136" s="23" t="e">
        <f>IF(SUMPRODUCT($J$85:BV$85,$J136:BV136)&lt;0.5, "Pending", IF(BV136&lt;0.5, "Complete", "In Progress"))</f>
        <v>#REF!</v>
      </c>
      <c r="BX136" s="22">
        <v>0</v>
      </c>
      <c r="BY136" s="22" t="e">
        <f t="shared" si="25"/>
        <v>#REF!</v>
      </c>
      <c r="BZ136" s="23" t="e">
        <f>IF(SUMPRODUCT($J$85:BY$85,$J136:BY136)&lt;0.5, "Pending", IF(BY136&lt;0.5, "Complete", "In Progress"))</f>
        <v>#REF!</v>
      </c>
      <c r="CA136" s="22">
        <v>0</v>
      </c>
      <c r="CB136" s="22" t="e">
        <f t="shared" si="26"/>
        <v>#REF!</v>
      </c>
      <c r="CC136" s="23" t="e">
        <f>IF(SUMPRODUCT($J$85:CB$85,$J136:CB136)&lt;0.5, "Pending", IF(CB136&lt;0.5, "Complete", "In Progress"))</f>
        <v>#REF!</v>
      </c>
      <c r="CD136" s="24"/>
      <c r="CE136" s="25">
        <f>SUMPRODUCT($H$85:AY$85,$H136:AY136)</f>
        <v>43</v>
      </c>
    </row>
    <row r="137" spans="1:83" ht="13.8" customHeight="1" x14ac:dyDescent="0.25">
      <c r="A137" s="16" t="s">
        <v>104</v>
      </c>
      <c r="B137" s="16" t="s">
        <v>121</v>
      </c>
      <c r="C137" s="16" t="s">
        <v>516</v>
      </c>
      <c r="D137" s="17" t="s">
        <v>247</v>
      </c>
      <c r="E137" s="158" t="s">
        <v>432</v>
      </c>
      <c r="F137" s="158" t="s">
        <v>493</v>
      </c>
      <c r="G137" s="168"/>
      <c r="H137" s="20">
        <v>1</v>
      </c>
      <c r="I137" s="21">
        <v>56</v>
      </c>
      <c r="J137" s="21">
        <v>0</v>
      </c>
      <c r="K137" s="21">
        <v>0</v>
      </c>
      <c r="L137" s="21">
        <v>0</v>
      </c>
      <c r="M137" s="21">
        <v>0</v>
      </c>
      <c r="N137" s="21">
        <v>0</v>
      </c>
      <c r="O137" s="21">
        <v>0</v>
      </c>
      <c r="P137" s="21">
        <v>0</v>
      </c>
      <c r="Q137" s="21">
        <v>0</v>
      </c>
      <c r="R137" s="21">
        <v>0</v>
      </c>
      <c r="S137" s="21">
        <v>0</v>
      </c>
      <c r="T137" s="21">
        <v>0</v>
      </c>
      <c r="U137" s="21">
        <v>0</v>
      </c>
      <c r="V137" s="21">
        <v>0</v>
      </c>
      <c r="W137" s="21">
        <v>0</v>
      </c>
      <c r="X137" s="21">
        <v>0</v>
      </c>
      <c r="Y137" s="21">
        <v>0</v>
      </c>
      <c r="Z137" s="21">
        <v>0</v>
      </c>
      <c r="AA137" s="21">
        <v>0</v>
      </c>
      <c r="AB137" s="21">
        <v>0</v>
      </c>
      <c r="AC137" s="21">
        <v>0</v>
      </c>
      <c r="AD137" s="21">
        <v>0</v>
      </c>
      <c r="AE137" s="21">
        <v>0</v>
      </c>
      <c r="AF137" s="21">
        <v>0</v>
      </c>
      <c r="AG137" s="21">
        <v>0</v>
      </c>
      <c r="AH137" s="21">
        <v>0</v>
      </c>
      <c r="AI137" s="21">
        <v>0</v>
      </c>
      <c r="AJ137" s="21">
        <v>0</v>
      </c>
      <c r="AK137" s="21">
        <v>0</v>
      </c>
      <c r="AL137" s="21">
        <v>0</v>
      </c>
      <c r="AM137" s="21">
        <v>0</v>
      </c>
      <c r="AN137" s="21">
        <v>0</v>
      </c>
      <c r="AO137" s="21">
        <v>0</v>
      </c>
      <c r="AP137" s="21">
        <v>0</v>
      </c>
      <c r="AQ137" s="21">
        <v>0</v>
      </c>
      <c r="AR137" s="21">
        <v>0</v>
      </c>
      <c r="AS137" s="21">
        <v>0</v>
      </c>
      <c r="AT137" s="21">
        <v>0</v>
      </c>
      <c r="AU137" s="21">
        <v>0</v>
      </c>
      <c r="AV137" s="21">
        <v>0</v>
      </c>
      <c r="AW137" s="21">
        <v>0</v>
      </c>
      <c r="AX137" s="21">
        <v>0</v>
      </c>
      <c r="AY137" s="21">
        <v>0</v>
      </c>
      <c r="AZ137" s="22">
        <v>0</v>
      </c>
      <c r="BA137" s="22" t="e">
        <f>MAX(#REF!-AZ137,0)</f>
        <v>#REF!</v>
      </c>
      <c r="BB137" s="23" t="e">
        <f>IF(SUMPRODUCT($J$85:BA$85,$J137:BA137)&lt;0.5, "Pending", IF(BA137&lt;0.5, "Complete", "In Progress"))</f>
        <v>#REF!</v>
      </c>
      <c r="BC137" s="22">
        <v>0</v>
      </c>
      <c r="BD137" s="22" t="e">
        <f t="shared" si="18"/>
        <v>#REF!</v>
      </c>
      <c r="BE137" s="23" t="e">
        <f>IF(SUMPRODUCT($J$85:BD$85,$J137:BD137)&lt;0.5, "Pending", IF(BD137&lt;0.5, "Complete", "In Progress"))</f>
        <v>#REF!</v>
      </c>
      <c r="BF137" s="22">
        <v>0</v>
      </c>
      <c r="BG137" s="22" t="e">
        <f t="shared" si="19"/>
        <v>#REF!</v>
      </c>
      <c r="BH137" s="23" t="e">
        <f>IF(SUMPRODUCT($J$85:BG$85,$J137:BG137)&lt;0.5, "Pending", IF(BG137&lt;0.5, "Complete", "In Progress"))</f>
        <v>#REF!</v>
      </c>
      <c r="BI137" s="22">
        <v>0</v>
      </c>
      <c r="BJ137" s="22" t="e">
        <f t="shared" si="20"/>
        <v>#REF!</v>
      </c>
      <c r="BK137" s="23" t="e">
        <f>IF(SUMPRODUCT($J$85:BJ$85,$J137:BJ137)&lt;0.5, "Pending", IF(BJ137&lt;0.5, "Complete", "In Progress"))</f>
        <v>#REF!</v>
      </c>
      <c r="BL137" s="22">
        <v>0</v>
      </c>
      <c r="BM137" s="22" t="e">
        <f t="shared" si="21"/>
        <v>#REF!</v>
      </c>
      <c r="BN137" s="23" t="e">
        <f>IF(SUMPRODUCT($J$85:BM$85,$J137:BM137)&lt;0.5, "Pending", IF(BM137&lt;0.5, "Complete", "In Progress"))</f>
        <v>#REF!</v>
      </c>
      <c r="BO137" s="22">
        <v>0</v>
      </c>
      <c r="BP137" s="22" t="e">
        <f t="shared" si="22"/>
        <v>#REF!</v>
      </c>
      <c r="BQ137" s="23" t="e">
        <f>IF(SUMPRODUCT($J$85:BP$85,$J137:BP137)&lt;0.5, "Pending", IF(BP137&lt;0.5, "Complete", "In Progress"))</f>
        <v>#REF!</v>
      </c>
      <c r="BR137" s="22">
        <v>0</v>
      </c>
      <c r="BS137" s="22" t="e">
        <f t="shared" si="23"/>
        <v>#REF!</v>
      </c>
      <c r="BT137" s="23" t="e">
        <f>IF(SUMPRODUCT($J$85:BS$85,$J137:BS137)&lt;0.5, "Pending", IF(BS137&lt;0.5, "Complete", "In Progress"))</f>
        <v>#REF!</v>
      </c>
      <c r="BU137" s="22">
        <v>0</v>
      </c>
      <c r="BV137" s="22" t="e">
        <f t="shared" si="24"/>
        <v>#REF!</v>
      </c>
      <c r="BW137" s="23" t="e">
        <f>IF(SUMPRODUCT($J$85:BV$85,$J137:BV137)&lt;0.5, "Pending", IF(BV137&lt;0.5, "Complete", "In Progress"))</f>
        <v>#REF!</v>
      </c>
      <c r="BX137" s="22">
        <v>0</v>
      </c>
      <c r="BY137" s="22" t="e">
        <f t="shared" si="25"/>
        <v>#REF!</v>
      </c>
      <c r="BZ137" s="23" t="e">
        <f>IF(SUMPRODUCT($J$85:BY$85,$J137:BY137)&lt;0.5, "Pending", IF(BY137&lt;0.5, "Complete", "In Progress"))</f>
        <v>#REF!</v>
      </c>
      <c r="CA137" s="22">
        <v>0</v>
      </c>
      <c r="CB137" s="22" t="e">
        <f t="shared" si="26"/>
        <v>#REF!</v>
      </c>
      <c r="CC137" s="23" t="e">
        <f>IF(SUMPRODUCT($J$85:CB$85,$J137:CB137)&lt;0.5, "Pending", IF(CB137&lt;0.5, "Complete", "In Progress"))</f>
        <v>#REF!</v>
      </c>
      <c r="CD137" s="24"/>
      <c r="CE137" s="25">
        <f>SUMPRODUCT($H$85:AY$85,$H137:AY137)</f>
        <v>393</v>
      </c>
    </row>
    <row r="138" spans="1:83" ht="13.8" customHeight="1" x14ac:dyDescent="0.25">
      <c r="A138" s="16" t="s">
        <v>104</v>
      </c>
      <c r="B138" s="16" t="s">
        <v>121</v>
      </c>
      <c r="C138" s="16" t="s">
        <v>516</v>
      </c>
      <c r="D138" s="17" t="s">
        <v>248</v>
      </c>
      <c r="E138" s="158" t="s">
        <v>433</v>
      </c>
      <c r="F138" s="158" t="s">
        <v>494</v>
      </c>
      <c r="G138" s="19"/>
      <c r="H138" s="20">
        <v>1</v>
      </c>
      <c r="I138" s="21">
        <v>6</v>
      </c>
      <c r="J138" s="21">
        <v>0</v>
      </c>
      <c r="K138" s="21">
        <v>0</v>
      </c>
      <c r="L138" s="21">
        <v>0</v>
      </c>
      <c r="M138" s="21">
        <v>0</v>
      </c>
      <c r="N138" s="21">
        <v>0</v>
      </c>
      <c r="O138" s="21">
        <v>0</v>
      </c>
      <c r="P138" s="21">
        <v>0</v>
      </c>
      <c r="Q138" s="21">
        <v>0</v>
      </c>
      <c r="R138" s="21">
        <v>0</v>
      </c>
      <c r="S138" s="21">
        <v>0</v>
      </c>
      <c r="T138" s="21">
        <v>0</v>
      </c>
      <c r="U138" s="21">
        <v>0</v>
      </c>
      <c r="V138" s="21">
        <v>0</v>
      </c>
      <c r="W138" s="21">
        <v>0</v>
      </c>
      <c r="X138" s="21">
        <v>0</v>
      </c>
      <c r="Y138" s="21">
        <v>0</v>
      </c>
      <c r="Z138" s="21">
        <v>0</v>
      </c>
      <c r="AA138" s="21">
        <v>0</v>
      </c>
      <c r="AB138" s="21">
        <v>0</v>
      </c>
      <c r="AC138" s="21">
        <v>0</v>
      </c>
      <c r="AD138" s="21">
        <v>0</v>
      </c>
      <c r="AE138" s="21">
        <v>0</v>
      </c>
      <c r="AF138" s="21">
        <v>0</v>
      </c>
      <c r="AG138" s="21">
        <v>0</v>
      </c>
      <c r="AH138" s="21">
        <v>0</v>
      </c>
      <c r="AI138" s="21">
        <v>0</v>
      </c>
      <c r="AJ138" s="21">
        <v>0</v>
      </c>
      <c r="AK138" s="21">
        <v>0</v>
      </c>
      <c r="AL138" s="21">
        <v>0</v>
      </c>
      <c r="AM138" s="21">
        <v>0</v>
      </c>
      <c r="AN138" s="21">
        <v>0</v>
      </c>
      <c r="AO138" s="21">
        <v>0</v>
      </c>
      <c r="AP138" s="21">
        <v>0</v>
      </c>
      <c r="AQ138" s="21">
        <v>0</v>
      </c>
      <c r="AR138" s="21">
        <v>0</v>
      </c>
      <c r="AS138" s="21">
        <v>0</v>
      </c>
      <c r="AT138" s="21">
        <v>0</v>
      </c>
      <c r="AU138" s="21">
        <v>0</v>
      </c>
      <c r="AV138" s="21">
        <v>0</v>
      </c>
      <c r="AW138" s="21">
        <v>0</v>
      </c>
      <c r="AX138" s="21">
        <v>0</v>
      </c>
      <c r="AY138" s="21">
        <v>0</v>
      </c>
      <c r="AZ138" s="22">
        <v>0</v>
      </c>
      <c r="BA138" s="22" t="e">
        <f>MAX(#REF!-AZ138,0)</f>
        <v>#REF!</v>
      </c>
      <c r="BB138" s="23" t="e">
        <f>IF(SUMPRODUCT($J$85:BA$85,$J138:BA138)&lt;0.5, "Pending", IF(BA138&lt;0.5, "Complete", "In Progress"))</f>
        <v>#REF!</v>
      </c>
      <c r="BC138" s="22">
        <v>0</v>
      </c>
      <c r="BD138" s="22" t="e">
        <f t="shared" si="18"/>
        <v>#REF!</v>
      </c>
      <c r="BE138" s="23" t="e">
        <f>IF(SUMPRODUCT($J$85:BD$85,$J138:BD138)&lt;0.5, "Pending", IF(BD138&lt;0.5, "Complete", "In Progress"))</f>
        <v>#REF!</v>
      </c>
      <c r="BF138" s="22">
        <v>0</v>
      </c>
      <c r="BG138" s="22" t="e">
        <f t="shared" si="19"/>
        <v>#REF!</v>
      </c>
      <c r="BH138" s="23" t="e">
        <f>IF(SUMPRODUCT($J$85:BG$85,$J138:BG138)&lt;0.5, "Pending", IF(BG138&lt;0.5, "Complete", "In Progress"))</f>
        <v>#REF!</v>
      </c>
      <c r="BI138" s="22">
        <v>0</v>
      </c>
      <c r="BJ138" s="22" t="e">
        <f t="shared" si="20"/>
        <v>#REF!</v>
      </c>
      <c r="BK138" s="23" t="e">
        <f>IF(SUMPRODUCT($J$85:BJ$85,$J138:BJ138)&lt;0.5, "Pending", IF(BJ138&lt;0.5, "Complete", "In Progress"))</f>
        <v>#REF!</v>
      </c>
      <c r="BL138" s="22">
        <v>0</v>
      </c>
      <c r="BM138" s="22" t="e">
        <f t="shared" si="21"/>
        <v>#REF!</v>
      </c>
      <c r="BN138" s="23" t="e">
        <f>IF(SUMPRODUCT($J$85:BM$85,$J138:BM138)&lt;0.5, "Pending", IF(BM138&lt;0.5, "Complete", "In Progress"))</f>
        <v>#REF!</v>
      </c>
      <c r="BO138" s="22">
        <v>0</v>
      </c>
      <c r="BP138" s="22" t="e">
        <f t="shared" si="22"/>
        <v>#REF!</v>
      </c>
      <c r="BQ138" s="23" t="e">
        <f>IF(SUMPRODUCT($J$85:BP$85,$J138:BP138)&lt;0.5, "Pending", IF(BP138&lt;0.5, "Complete", "In Progress"))</f>
        <v>#REF!</v>
      </c>
      <c r="BR138" s="22">
        <v>0</v>
      </c>
      <c r="BS138" s="22" t="e">
        <f t="shared" si="23"/>
        <v>#REF!</v>
      </c>
      <c r="BT138" s="23" t="e">
        <f>IF(SUMPRODUCT($J$85:BS$85,$J138:BS138)&lt;0.5, "Pending", IF(BS138&lt;0.5, "Complete", "In Progress"))</f>
        <v>#REF!</v>
      </c>
      <c r="BU138" s="22">
        <v>0</v>
      </c>
      <c r="BV138" s="22" t="e">
        <f t="shared" si="24"/>
        <v>#REF!</v>
      </c>
      <c r="BW138" s="23" t="e">
        <f>IF(SUMPRODUCT($J$85:BV$85,$J138:BV138)&lt;0.5, "Pending", IF(BV138&lt;0.5, "Complete", "In Progress"))</f>
        <v>#REF!</v>
      </c>
      <c r="BX138" s="22">
        <v>0</v>
      </c>
      <c r="BY138" s="22" t="e">
        <f t="shared" si="25"/>
        <v>#REF!</v>
      </c>
      <c r="BZ138" s="23" t="e">
        <f>IF(SUMPRODUCT($J$85:BY$85,$J138:BY138)&lt;0.5, "Pending", IF(BY138&lt;0.5, "Complete", "In Progress"))</f>
        <v>#REF!</v>
      </c>
      <c r="CA138" s="22">
        <v>0</v>
      </c>
      <c r="CB138" s="22" t="e">
        <f t="shared" si="26"/>
        <v>#REF!</v>
      </c>
      <c r="CC138" s="23" t="e">
        <f>IF(SUMPRODUCT($J$85:CB$85,$J138:CB138)&lt;0.5, "Pending", IF(CB138&lt;0.5, "Complete", "In Progress"))</f>
        <v>#REF!</v>
      </c>
      <c r="CD138" s="24"/>
      <c r="CE138" s="25">
        <f>SUMPRODUCT($H$85:AY$85,$H138:AY138)</f>
        <v>43</v>
      </c>
    </row>
    <row r="139" spans="1:83" ht="13.8" customHeight="1" x14ac:dyDescent="0.25">
      <c r="A139" s="16" t="s">
        <v>103</v>
      </c>
      <c r="B139" s="16" t="s">
        <v>112</v>
      </c>
      <c r="C139" s="16" t="s">
        <v>517</v>
      </c>
      <c r="D139" s="17">
        <v>9</v>
      </c>
      <c r="E139" s="158" t="s">
        <v>434</v>
      </c>
      <c r="F139" s="158" t="s">
        <v>497</v>
      </c>
      <c r="G139" s="19"/>
      <c r="H139" s="20">
        <v>1</v>
      </c>
      <c r="I139" s="21">
        <v>6</v>
      </c>
      <c r="J139" s="21">
        <v>0</v>
      </c>
      <c r="K139" s="21">
        <v>0</v>
      </c>
      <c r="L139" s="21">
        <v>0</v>
      </c>
      <c r="M139" s="21">
        <v>0</v>
      </c>
      <c r="N139" s="21">
        <v>0</v>
      </c>
      <c r="O139" s="21">
        <v>0</v>
      </c>
      <c r="P139" s="21">
        <v>0</v>
      </c>
      <c r="Q139" s="21">
        <v>0</v>
      </c>
      <c r="R139" s="21">
        <v>0</v>
      </c>
      <c r="S139" s="21">
        <v>0</v>
      </c>
      <c r="T139" s="21">
        <v>0</v>
      </c>
      <c r="U139" s="21">
        <v>0</v>
      </c>
      <c r="V139" s="21">
        <v>0</v>
      </c>
      <c r="W139" s="21">
        <v>0</v>
      </c>
      <c r="X139" s="21">
        <v>0</v>
      </c>
      <c r="Y139" s="21">
        <v>0</v>
      </c>
      <c r="Z139" s="21">
        <v>0</v>
      </c>
      <c r="AA139" s="21">
        <v>0</v>
      </c>
      <c r="AB139" s="21">
        <v>0</v>
      </c>
      <c r="AC139" s="21">
        <v>0</v>
      </c>
      <c r="AD139" s="21">
        <v>0</v>
      </c>
      <c r="AE139" s="21">
        <v>0</v>
      </c>
      <c r="AF139" s="21">
        <v>0</v>
      </c>
      <c r="AG139" s="21">
        <v>0</v>
      </c>
      <c r="AH139" s="21">
        <v>0</v>
      </c>
      <c r="AI139" s="21">
        <v>0</v>
      </c>
      <c r="AJ139" s="21">
        <v>0</v>
      </c>
      <c r="AK139" s="21">
        <v>0</v>
      </c>
      <c r="AL139" s="21">
        <v>0</v>
      </c>
      <c r="AM139" s="21">
        <v>0</v>
      </c>
      <c r="AN139" s="21">
        <v>0</v>
      </c>
      <c r="AO139" s="21">
        <v>0</v>
      </c>
      <c r="AP139" s="21">
        <v>0</v>
      </c>
      <c r="AQ139" s="21">
        <v>0</v>
      </c>
      <c r="AR139" s="21">
        <v>0</v>
      </c>
      <c r="AS139" s="21">
        <v>0</v>
      </c>
      <c r="AT139" s="21">
        <v>0</v>
      </c>
      <c r="AU139" s="21">
        <v>0</v>
      </c>
      <c r="AV139" s="21">
        <v>0</v>
      </c>
      <c r="AW139" s="21">
        <v>0</v>
      </c>
      <c r="AX139" s="21">
        <v>0</v>
      </c>
      <c r="AY139" s="21">
        <v>0</v>
      </c>
      <c r="AZ139" s="22">
        <v>0</v>
      </c>
      <c r="BA139" s="22" t="e">
        <f>MAX(#REF!-AZ139,0)</f>
        <v>#REF!</v>
      </c>
      <c r="BB139" s="23" t="e">
        <f>IF(SUMPRODUCT($J$85:BA$85,$J139:BA139)&lt;0.5, "Pending", IF(BA139&lt;0.5, "Complete", "In Progress"))</f>
        <v>#REF!</v>
      </c>
      <c r="BC139" s="22">
        <v>0</v>
      </c>
      <c r="BD139" s="22" t="e">
        <f t="shared" si="18"/>
        <v>#REF!</v>
      </c>
      <c r="BE139" s="23" t="e">
        <f>IF(SUMPRODUCT($J$85:BD$85,$J139:BD139)&lt;0.5, "Pending", IF(BD139&lt;0.5, "Complete", "In Progress"))</f>
        <v>#REF!</v>
      </c>
      <c r="BF139" s="22">
        <v>0</v>
      </c>
      <c r="BG139" s="22" t="e">
        <f t="shared" si="19"/>
        <v>#REF!</v>
      </c>
      <c r="BH139" s="23" t="e">
        <f>IF(SUMPRODUCT($J$85:BG$85,$J139:BG139)&lt;0.5, "Pending", IF(BG139&lt;0.5, "Complete", "In Progress"))</f>
        <v>#REF!</v>
      </c>
      <c r="BI139" s="22">
        <v>0</v>
      </c>
      <c r="BJ139" s="22" t="e">
        <f t="shared" si="20"/>
        <v>#REF!</v>
      </c>
      <c r="BK139" s="23" t="e">
        <f>IF(SUMPRODUCT($J$85:BJ$85,$J139:BJ139)&lt;0.5, "Pending", IF(BJ139&lt;0.5, "Complete", "In Progress"))</f>
        <v>#REF!</v>
      </c>
      <c r="BL139" s="22">
        <v>0</v>
      </c>
      <c r="BM139" s="22" t="e">
        <f t="shared" si="21"/>
        <v>#REF!</v>
      </c>
      <c r="BN139" s="23" t="e">
        <f>IF(SUMPRODUCT($J$85:BM$85,$J139:BM139)&lt;0.5, "Pending", IF(BM139&lt;0.5, "Complete", "In Progress"))</f>
        <v>#REF!</v>
      </c>
      <c r="BO139" s="22">
        <v>0</v>
      </c>
      <c r="BP139" s="22" t="e">
        <f t="shared" si="22"/>
        <v>#REF!</v>
      </c>
      <c r="BQ139" s="23" t="e">
        <f>IF(SUMPRODUCT($J$85:BP$85,$J139:BP139)&lt;0.5, "Pending", IF(BP139&lt;0.5, "Complete", "In Progress"))</f>
        <v>#REF!</v>
      </c>
      <c r="BR139" s="22">
        <v>0</v>
      </c>
      <c r="BS139" s="22" t="e">
        <f t="shared" si="23"/>
        <v>#REF!</v>
      </c>
      <c r="BT139" s="23" t="e">
        <f>IF(SUMPRODUCT($J$85:BS$85,$J139:BS139)&lt;0.5, "Pending", IF(BS139&lt;0.5, "Complete", "In Progress"))</f>
        <v>#REF!</v>
      </c>
      <c r="BU139" s="22">
        <v>0</v>
      </c>
      <c r="BV139" s="22" t="e">
        <f t="shared" si="24"/>
        <v>#REF!</v>
      </c>
      <c r="BW139" s="23" t="e">
        <f>IF(SUMPRODUCT($J$85:BV$85,$J139:BV139)&lt;0.5, "Pending", IF(BV139&lt;0.5, "Complete", "In Progress"))</f>
        <v>#REF!</v>
      </c>
      <c r="BX139" s="22">
        <v>0</v>
      </c>
      <c r="BY139" s="22" t="e">
        <f t="shared" si="25"/>
        <v>#REF!</v>
      </c>
      <c r="BZ139" s="23" t="e">
        <f>IF(SUMPRODUCT($J$85:BY$85,$J139:BY139)&lt;0.5, "Pending", IF(BY139&lt;0.5, "Complete", "In Progress"))</f>
        <v>#REF!</v>
      </c>
      <c r="CA139" s="22">
        <v>0</v>
      </c>
      <c r="CB139" s="22" t="e">
        <f t="shared" si="26"/>
        <v>#REF!</v>
      </c>
      <c r="CC139" s="23" t="e">
        <f>IF(SUMPRODUCT($J$85:CB$85,$J139:CB139)&lt;0.5, "Pending", IF(CB139&lt;0.5, "Complete", "In Progress"))</f>
        <v>#REF!</v>
      </c>
      <c r="CD139" s="24"/>
      <c r="CE139" s="25">
        <f>SUMPRODUCT($H$85:AY$85,$H139:AY139)</f>
        <v>43</v>
      </c>
    </row>
    <row r="140" spans="1:83" ht="13.8" customHeight="1" x14ac:dyDescent="0.25">
      <c r="A140" s="16" t="s">
        <v>103</v>
      </c>
      <c r="B140" s="16" t="s">
        <v>112</v>
      </c>
      <c r="C140" s="16" t="s">
        <v>517</v>
      </c>
      <c r="D140" s="17">
        <v>9.1</v>
      </c>
      <c r="E140" s="158" t="s">
        <v>435</v>
      </c>
      <c r="F140" s="158" t="s">
        <v>498</v>
      </c>
      <c r="G140" s="19"/>
      <c r="H140" s="20">
        <v>1</v>
      </c>
      <c r="I140" s="21">
        <v>6</v>
      </c>
      <c r="J140" s="21">
        <v>0</v>
      </c>
      <c r="K140" s="21">
        <v>0</v>
      </c>
      <c r="L140" s="21">
        <v>0</v>
      </c>
      <c r="M140" s="21">
        <v>0</v>
      </c>
      <c r="N140" s="21">
        <v>0</v>
      </c>
      <c r="O140" s="21">
        <v>0</v>
      </c>
      <c r="P140" s="21">
        <v>0</v>
      </c>
      <c r="Q140" s="21">
        <v>0</v>
      </c>
      <c r="R140" s="21">
        <v>0</v>
      </c>
      <c r="S140" s="21">
        <v>0</v>
      </c>
      <c r="T140" s="21">
        <v>0</v>
      </c>
      <c r="U140" s="21">
        <v>0</v>
      </c>
      <c r="V140" s="21">
        <v>0</v>
      </c>
      <c r="W140" s="21">
        <v>0</v>
      </c>
      <c r="X140" s="21">
        <v>0</v>
      </c>
      <c r="Y140" s="21">
        <v>0</v>
      </c>
      <c r="Z140" s="21">
        <v>0</v>
      </c>
      <c r="AA140" s="21">
        <v>0</v>
      </c>
      <c r="AB140" s="21">
        <v>0</v>
      </c>
      <c r="AC140" s="21">
        <v>0</v>
      </c>
      <c r="AD140" s="21">
        <v>0</v>
      </c>
      <c r="AE140" s="21">
        <v>0</v>
      </c>
      <c r="AF140" s="21">
        <v>0</v>
      </c>
      <c r="AG140" s="21">
        <v>0</v>
      </c>
      <c r="AH140" s="21">
        <v>0</v>
      </c>
      <c r="AI140" s="21">
        <v>0</v>
      </c>
      <c r="AJ140" s="21">
        <v>0</v>
      </c>
      <c r="AK140" s="21">
        <v>0</v>
      </c>
      <c r="AL140" s="21">
        <v>0</v>
      </c>
      <c r="AM140" s="21">
        <v>0</v>
      </c>
      <c r="AN140" s="21">
        <v>0</v>
      </c>
      <c r="AO140" s="21">
        <v>0</v>
      </c>
      <c r="AP140" s="21">
        <v>0</v>
      </c>
      <c r="AQ140" s="21">
        <v>0</v>
      </c>
      <c r="AR140" s="21">
        <v>0</v>
      </c>
      <c r="AS140" s="21">
        <v>0</v>
      </c>
      <c r="AT140" s="21">
        <v>0</v>
      </c>
      <c r="AU140" s="21">
        <v>0</v>
      </c>
      <c r="AV140" s="21">
        <v>0</v>
      </c>
      <c r="AW140" s="21">
        <v>0</v>
      </c>
      <c r="AX140" s="21">
        <v>0</v>
      </c>
      <c r="AY140" s="21">
        <v>0</v>
      </c>
      <c r="AZ140" s="22">
        <v>0</v>
      </c>
      <c r="BA140" s="22" t="e">
        <f>MAX(#REF!-AZ140,0)</f>
        <v>#REF!</v>
      </c>
      <c r="BB140" s="23" t="e">
        <f>IF(SUMPRODUCT($J$85:BA$85,$J140:BA140)&lt;0.5, "Pending", IF(BA140&lt;0.5, "Complete", "In Progress"))</f>
        <v>#REF!</v>
      </c>
      <c r="BC140" s="22">
        <v>0</v>
      </c>
      <c r="BD140" s="22" t="e">
        <f t="shared" si="18"/>
        <v>#REF!</v>
      </c>
      <c r="BE140" s="23" t="e">
        <f>IF(SUMPRODUCT($J$85:BD$85,$J140:BD140)&lt;0.5, "Pending", IF(BD140&lt;0.5, "Complete", "In Progress"))</f>
        <v>#REF!</v>
      </c>
      <c r="BF140" s="22">
        <v>0</v>
      </c>
      <c r="BG140" s="22" t="e">
        <f t="shared" si="19"/>
        <v>#REF!</v>
      </c>
      <c r="BH140" s="23" t="e">
        <f>IF(SUMPRODUCT($J$85:BG$85,$J140:BG140)&lt;0.5, "Pending", IF(BG140&lt;0.5, "Complete", "In Progress"))</f>
        <v>#REF!</v>
      </c>
      <c r="BI140" s="22">
        <v>0</v>
      </c>
      <c r="BJ140" s="22" t="e">
        <f t="shared" si="20"/>
        <v>#REF!</v>
      </c>
      <c r="BK140" s="23" t="e">
        <f>IF(SUMPRODUCT($J$85:BJ$85,$J140:BJ140)&lt;0.5, "Pending", IF(BJ140&lt;0.5, "Complete", "In Progress"))</f>
        <v>#REF!</v>
      </c>
      <c r="BL140" s="22">
        <v>0</v>
      </c>
      <c r="BM140" s="22" t="e">
        <f t="shared" si="21"/>
        <v>#REF!</v>
      </c>
      <c r="BN140" s="23" t="e">
        <f>IF(SUMPRODUCT($J$85:BM$85,$J140:BM140)&lt;0.5, "Pending", IF(BM140&lt;0.5, "Complete", "In Progress"))</f>
        <v>#REF!</v>
      </c>
      <c r="BO140" s="22">
        <v>0</v>
      </c>
      <c r="BP140" s="22" t="e">
        <f t="shared" si="22"/>
        <v>#REF!</v>
      </c>
      <c r="BQ140" s="23" t="e">
        <f>IF(SUMPRODUCT($J$85:BP$85,$J140:BP140)&lt;0.5, "Pending", IF(BP140&lt;0.5, "Complete", "In Progress"))</f>
        <v>#REF!</v>
      </c>
      <c r="BR140" s="22">
        <v>0</v>
      </c>
      <c r="BS140" s="22" t="e">
        <f t="shared" si="23"/>
        <v>#REF!</v>
      </c>
      <c r="BT140" s="23" t="e">
        <f>IF(SUMPRODUCT($J$85:BS$85,$J140:BS140)&lt;0.5, "Pending", IF(BS140&lt;0.5, "Complete", "In Progress"))</f>
        <v>#REF!</v>
      </c>
      <c r="BU140" s="22">
        <v>0</v>
      </c>
      <c r="BV140" s="22" t="e">
        <f t="shared" si="24"/>
        <v>#REF!</v>
      </c>
      <c r="BW140" s="23" t="e">
        <f>IF(SUMPRODUCT($J$85:BV$85,$J140:BV140)&lt;0.5, "Pending", IF(BV140&lt;0.5, "Complete", "In Progress"))</f>
        <v>#REF!</v>
      </c>
      <c r="BX140" s="22">
        <v>0</v>
      </c>
      <c r="BY140" s="22" t="e">
        <f t="shared" si="25"/>
        <v>#REF!</v>
      </c>
      <c r="BZ140" s="23" t="e">
        <f>IF(SUMPRODUCT($J$85:BY$85,$J140:BY140)&lt;0.5, "Pending", IF(BY140&lt;0.5, "Complete", "In Progress"))</f>
        <v>#REF!</v>
      </c>
      <c r="CA140" s="22">
        <v>0</v>
      </c>
      <c r="CB140" s="22" t="e">
        <f t="shared" si="26"/>
        <v>#REF!</v>
      </c>
      <c r="CC140" s="23" t="e">
        <f>IF(SUMPRODUCT($J$85:CB$85,$J140:CB140)&lt;0.5, "Pending", IF(CB140&lt;0.5, "Complete", "In Progress"))</f>
        <v>#REF!</v>
      </c>
      <c r="CD140" s="24"/>
      <c r="CE140" s="25">
        <f>SUMPRODUCT($H$85:AY$85,$H140:AY140)</f>
        <v>43</v>
      </c>
    </row>
    <row r="141" spans="1:83" ht="13.8" customHeight="1" x14ac:dyDescent="0.25">
      <c r="A141" s="16" t="s">
        <v>104</v>
      </c>
      <c r="B141" s="16" t="s">
        <v>121</v>
      </c>
      <c r="C141" s="16" t="s">
        <v>518</v>
      </c>
      <c r="D141" s="17" t="s">
        <v>249</v>
      </c>
      <c r="E141" s="158" t="s">
        <v>436</v>
      </c>
      <c r="F141" s="158" t="s">
        <v>496</v>
      </c>
      <c r="G141" s="19"/>
      <c r="H141" s="20">
        <v>1</v>
      </c>
      <c r="I141" s="21">
        <v>6</v>
      </c>
      <c r="J141" s="21">
        <v>0</v>
      </c>
      <c r="K141" s="21">
        <v>0</v>
      </c>
      <c r="L141" s="21">
        <v>0</v>
      </c>
      <c r="M141" s="21">
        <v>0</v>
      </c>
      <c r="N141" s="21">
        <v>0</v>
      </c>
      <c r="O141" s="21">
        <v>0</v>
      </c>
      <c r="P141" s="21">
        <v>0</v>
      </c>
      <c r="Q141" s="21">
        <v>0</v>
      </c>
      <c r="R141" s="21">
        <v>0</v>
      </c>
      <c r="S141" s="21">
        <v>0</v>
      </c>
      <c r="T141" s="21">
        <v>0</v>
      </c>
      <c r="U141" s="21">
        <v>0</v>
      </c>
      <c r="V141" s="21">
        <v>0</v>
      </c>
      <c r="W141" s="21">
        <v>0</v>
      </c>
      <c r="X141" s="21">
        <v>0</v>
      </c>
      <c r="Y141" s="21">
        <v>0</v>
      </c>
      <c r="Z141" s="21">
        <v>0</v>
      </c>
      <c r="AA141" s="21">
        <v>0</v>
      </c>
      <c r="AB141" s="21">
        <v>0</v>
      </c>
      <c r="AC141" s="21">
        <v>0</v>
      </c>
      <c r="AD141" s="21">
        <v>0</v>
      </c>
      <c r="AE141" s="21">
        <v>0</v>
      </c>
      <c r="AF141" s="21">
        <v>0</v>
      </c>
      <c r="AG141" s="21">
        <v>0</v>
      </c>
      <c r="AH141" s="21">
        <v>0</v>
      </c>
      <c r="AI141" s="21">
        <v>0</v>
      </c>
      <c r="AJ141" s="21">
        <v>0</v>
      </c>
      <c r="AK141" s="21">
        <v>0</v>
      </c>
      <c r="AL141" s="21">
        <v>0</v>
      </c>
      <c r="AM141" s="21">
        <v>0</v>
      </c>
      <c r="AN141" s="21">
        <v>0</v>
      </c>
      <c r="AO141" s="21">
        <v>0</v>
      </c>
      <c r="AP141" s="21">
        <v>0</v>
      </c>
      <c r="AQ141" s="21">
        <v>0</v>
      </c>
      <c r="AR141" s="21">
        <v>0</v>
      </c>
      <c r="AS141" s="21">
        <v>0</v>
      </c>
      <c r="AT141" s="21">
        <v>0</v>
      </c>
      <c r="AU141" s="21">
        <v>0</v>
      </c>
      <c r="AV141" s="21">
        <v>0</v>
      </c>
      <c r="AW141" s="21">
        <v>0</v>
      </c>
      <c r="AX141" s="21">
        <v>0</v>
      </c>
      <c r="AY141" s="21">
        <v>0</v>
      </c>
      <c r="AZ141" s="22">
        <v>0</v>
      </c>
      <c r="BA141" s="22" t="e">
        <f>MAX(#REF!-AZ141,0)</f>
        <v>#REF!</v>
      </c>
      <c r="BB141" s="23" t="e">
        <f>IF(SUMPRODUCT($J$85:BA$85,$J141:BA141)&lt;0.5, "Pending", IF(BA141&lt;0.5, "Complete", "In Progress"))</f>
        <v>#REF!</v>
      </c>
      <c r="BC141" s="22">
        <v>0</v>
      </c>
      <c r="BD141" s="22" t="e">
        <f t="shared" si="18"/>
        <v>#REF!</v>
      </c>
      <c r="BE141" s="23" t="e">
        <f>IF(SUMPRODUCT($J$85:BD$85,$J141:BD141)&lt;0.5, "Pending", IF(BD141&lt;0.5, "Complete", "In Progress"))</f>
        <v>#REF!</v>
      </c>
      <c r="BF141" s="22">
        <v>0</v>
      </c>
      <c r="BG141" s="22" t="e">
        <f t="shared" si="19"/>
        <v>#REF!</v>
      </c>
      <c r="BH141" s="23" t="e">
        <f>IF(SUMPRODUCT($J$85:BG$85,$J141:BG141)&lt;0.5, "Pending", IF(BG141&lt;0.5, "Complete", "In Progress"))</f>
        <v>#REF!</v>
      </c>
      <c r="BI141" s="22">
        <v>0</v>
      </c>
      <c r="BJ141" s="22" t="e">
        <f t="shared" si="20"/>
        <v>#REF!</v>
      </c>
      <c r="BK141" s="23" t="e">
        <f>IF(SUMPRODUCT($J$85:BJ$85,$J141:BJ141)&lt;0.5, "Pending", IF(BJ141&lt;0.5, "Complete", "In Progress"))</f>
        <v>#REF!</v>
      </c>
      <c r="BL141" s="22">
        <v>0</v>
      </c>
      <c r="BM141" s="22" t="e">
        <f t="shared" si="21"/>
        <v>#REF!</v>
      </c>
      <c r="BN141" s="23" t="e">
        <f>IF(SUMPRODUCT($J$85:BM$85,$J141:BM141)&lt;0.5, "Pending", IF(BM141&lt;0.5, "Complete", "In Progress"))</f>
        <v>#REF!</v>
      </c>
      <c r="BO141" s="22">
        <v>0</v>
      </c>
      <c r="BP141" s="22" t="e">
        <f t="shared" si="22"/>
        <v>#REF!</v>
      </c>
      <c r="BQ141" s="23" t="e">
        <f>IF(SUMPRODUCT($J$85:BP$85,$J141:BP141)&lt;0.5, "Pending", IF(BP141&lt;0.5, "Complete", "In Progress"))</f>
        <v>#REF!</v>
      </c>
      <c r="BR141" s="22">
        <v>0</v>
      </c>
      <c r="BS141" s="22" t="e">
        <f t="shared" si="23"/>
        <v>#REF!</v>
      </c>
      <c r="BT141" s="23" t="e">
        <f>IF(SUMPRODUCT($J$85:BS$85,$J141:BS141)&lt;0.5, "Pending", IF(BS141&lt;0.5, "Complete", "In Progress"))</f>
        <v>#REF!</v>
      </c>
      <c r="BU141" s="22">
        <v>0</v>
      </c>
      <c r="BV141" s="22" t="e">
        <f t="shared" si="24"/>
        <v>#REF!</v>
      </c>
      <c r="BW141" s="23" t="e">
        <f>IF(SUMPRODUCT($J$85:BV$85,$J141:BV141)&lt;0.5, "Pending", IF(BV141&lt;0.5, "Complete", "In Progress"))</f>
        <v>#REF!</v>
      </c>
      <c r="BX141" s="22">
        <v>0</v>
      </c>
      <c r="BY141" s="22" t="e">
        <f t="shared" si="25"/>
        <v>#REF!</v>
      </c>
      <c r="BZ141" s="23" t="e">
        <f>IF(SUMPRODUCT($J$85:BY$85,$J141:BY141)&lt;0.5, "Pending", IF(BY141&lt;0.5, "Complete", "In Progress"))</f>
        <v>#REF!</v>
      </c>
      <c r="CA141" s="22">
        <v>0</v>
      </c>
      <c r="CB141" s="22" t="e">
        <f t="shared" si="26"/>
        <v>#REF!</v>
      </c>
      <c r="CC141" s="23" t="e">
        <f>IF(SUMPRODUCT($J$85:CB$85,$J141:CB141)&lt;0.5, "Pending", IF(CB141&lt;0.5, "Complete", "In Progress"))</f>
        <v>#REF!</v>
      </c>
      <c r="CD141" s="24"/>
      <c r="CE141" s="25">
        <f>SUMPRODUCT($H$85:AY$85,$H141:AY141)</f>
        <v>43</v>
      </c>
    </row>
    <row r="142" spans="1:83" ht="13.8" customHeight="1" x14ac:dyDescent="0.25">
      <c r="A142" s="16" t="s">
        <v>103</v>
      </c>
      <c r="B142" s="16" t="s">
        <v>112</v>
      </c>
      <c r="C142" s="16" t="s">
        <v>518</v>
      </c>
      <c r="D142" s="17" t="s">
        <v>250</v>
      </c>
      <c r="E142" s="158" t="s">
        <v>437</v>
      </c>
      <c r="F142" s="158" t="s">
        <v>495</v>
      </c>
      <c r="G142" s="169"/>
      <c r="H142" s="20">
        <v>1</v>
      </c>
      <c r="I142" s="21">
        <v>6</v>
      </c>
      <c r="J142" s="21">
        <v>0</v>
      </c>
      <c r="K142" s="21">
        <v>0</v>
      </c>
      <c r="L142" s="21">
        <v>0</v>
      </c>
      <c r="M142" s="21">
        <v>0</v>
      </c>
      <c r="N142" s="21">
        <v>0</v>
      </c>
      <c r="O142" s="21">
        <v>0</v>
      </c>
      <c r="P142" s="21">
        <v>0</v>
      </c>
      <c r="Q142" s="21">
        <v>0</v>
      </c>
      <c r="R142" s="21">
        <v>0</v>
      </c>
      <c r="S142" s="21">
        <v>0</v>
      </c>
      <c r="T142" s="21">
        <v>0</v>
      </c>
      <c r="U142" s="21">
        <v>0</v>
      </c>
      <c r="V142" s="21">
        <v>0</v>
      </c>
      <c r="W142" s="21">
        <v>0</v>
      </c>
      <c r="X142" s="21">
        <v>0</v>
      </c>
      <c r="Y142" s="21">
        <v>0</v>
      </c>
      <c r="Z142" s="21">
        <v>0</v>
      </c>
      <c r="AA142" s="21">
        <v>0</v>
      </c>
      <c r="AB142" s="21">
        <v>0</v>
      </c>
      <c r="AC142" s="21">
        <v>0</v>
      </c>
      <c r="AD142" s="21">
        <v>0</v>
      </c>
      <c r="AE142" s="21">
        <v>0</v>
      </c>
      <c r="AF142" s="21">
        <v>0</v>
      </c>
      <c r="AG142" s="21">
        <v>0</v>
      </c>
      <c r="AH142" s="21">
        <v>0</v>
      </c>
      <c r="AI142" s="21">
        <v>0</v>
      </c>
      <c r="AJ142" s="21">
        <v>0</v>
      </c>
      <c r="AK142" s="21">
        <v>0</v>
      </c>
      <c r="AL142" s="21">
        <v>0</v>
      </c>
      <c r="AM142" s="21">
        <v>0</v>
      </c>
      <c r="AN142" s="21">
        <v>0</v>
      </c>
      <c r="AO142" s="21">
        <v>0</v>
      </c>
      <c r="AP142" s="21">
        <v>0</v>
      </c>
      <c r="AQ142" s="21">
        <v>0</v>
      </c>
      <c r="AR142" s="21">
        <v>0</v>
      </c>
      <c r="AS142" s="21">
        <v>0</v>
      </c>
      <c r="AT142" s="21">
        <v>0</v>
      </c>
      <c r="AU142" s="21">
        <v>0</v>
      </c>
      <c r="AV142" s="21">
        <v>0</v>
      </c>
      <c r="AW142" s="21">
        <v>0</v>
      </c>
      <c r="AX142" s="21">
        <v>0</v>
      </c>
      <c r="AY142" s="21">
        <v>0</v>
      </c>
      <c r="AZ142" s="22">
        <v>0</v>
      </c>
      <c r="BA142" s="22" t="e">
        <f>MAX(#REF!-AZ142,0)</f>
        <v>#REF!</v>
      </c>
      <c r="BB142" s="23" t="e">
        <f>IF(SUMPRODUCT($J$85:BA$85,$J142:BA142)&lt;0.5, "Pending", IF(BA142&lt;0.5, "Complete", "In Progress"))</f>
        <v>#REF!</v>
      </c>
      <c r="BC142" s="22">
        <v>0</v>
      </c>
      <c r="BD142" s="22" t="e">
        <f t="shared" si="18"/>
        <v>#REF!</v>
      </c>
      <c r="BE142" s="23" t="e">
        <f>IF(SUMPRODUCT($J$85:BD$85,$J142:BD142)&lt;0.5, "Pending", IF(BD142&lt;0.5, "Complete", "In Progress"))</f>
        <v>#REF!</v>
      </c>
      <c r="BF142" s="22">
        <v>0</v>
      </c>
      <c r="BG142" s="22" t="e">
        <f t="shared" si="19"/>
        <v>#REF!</v>
      </c>
      <c r="BH142" s="23" t="e">
        <f>IF(SUMPRODUCT($J$85:BG$85,$J142:BG142)&lt;0.5, "Pending", IF(BG142&lt;0.5, "Complete", "In Progress"))</f>
        <v>#REF!</v>
      </c>
      <c r="BI142" s="22">
        <v>0</v>
      </c>
      <c r="BJ142" s="22" t="e">
        <f t="shared" si="20"/>
        <v>#REF!</v>
      </c>
      <c r="BK142" s="23" t="e">
        <f>IF(SUMPRODUCT($J$85:BJ$85,$J142:BJ142)&lt;0.5, "Pending", IF(BJ142&lt;0.5, "Complete", "In Progress"))</f>
        <v>#REF!</v>
      </c>
      <c r="BL142" s="22">
        <v>0</v>
      </c>
      <c r="BM142" s="22" t="e">
        <f t="shared" si="21"/>
        <v>#REF!</v>
      </c>
      <c r="BN142" s="23" t="e">
        <f>IF(SUMPRODUCT($J$85:BM$85,$J142:BM142)&lt;0.5, "Pending", IF(BM142&lt;0.5, "Complete", "In Progress"))</f>
        <v>#REF!</v>
      </c>
      <c r="BO142" s="22">
        <v>0</v>
      </c>
      <c r="BP142" s="22" t="e">
        <f t="shared" si="22"/>
        <v>#REF!</v>
      </c>
      <c r="BQ142" s="23" t="e">
        <f>IF(SUMPRODUCT($J$85:BP$85,$J142:BP142)&lt;0.5, "Pending", IF(BP142&lt;0.5, "Complete", "In Progress"))</f>
        <v>#REF!</v>
      </c>
      <c r="BR142" s="22">
        <v>0</v>
      </c>
      <c r="BS142" s="22" t="e">
        <f t="shared" si="23"/>
        <v>#REF!</v>
      </c>
      <c r="BT142" s="23" t="e">
        <f>IF(SUMPRODUCT($J$85:BS$85,$J142:BS142)&lt;0.5, "Pending", IF(BS142&lt;0.5, "Complete", "In Progress"))</f>
        <v>#REF!</v>
      </c>
      <c r="BU142" s="22">
        <v>0</v>
      </c>
      <c r="BV142" s="22" t="e">
        <f t="shared" si="24"/>
        <v>#REF!</v>
      </c>
      <c r="BW142" s="23" t="e">
        <f>IF(SUMPRODUCT($J$85:BV$85,$J142:BV142)&lt;0.5, "Pending", IF(BV142&lt;0.5, "Complete", "In Progress"))</f>
        <v>#REF!</v>
      </c>
      <c r="BX142" s="22">
        <v>0</v>
      </c>
      <c r="BY142" s="22" t="e">
        <f t="shared" si="25"/>
        <v>#REF!</v>
      </c>
      <c r="BZ142" s="23" t="e">
        <f>IF(SUMPRODUCT($J$85:BY$85,$J142:BY142)&lt;0.5, "Pending", IF(BY142&lt;0.5, "Complete", "In Progress"))</f>
        <v>#REF!</v>
      </c>
      <c r="CA142" s="22">
        <v>0</v>
      </c>
      <c r="CB142" s="22" t="e">
        <f t="shared" si="26"/>
        <v>#REF!</v>
      </c>
      <c r="CC142" s="23" t="e">
        <f>IF(SUMPRODUCT($J$85:CB$85,$J142:CB142)&lt;0.5, "Pending", IF(CB142&lt;0.5, "Complete", "In Progress"))</f>
        <v>#REF!</v>
      </c>
      <c r="CD142" s="24"/>
      <c r="CE142" s="25">
        <f>SUMPRODUCT($H$85:AY$85,$H142:AY142)</f>
        <v>43</v>
      </c>
    </row>
    <row r="143" spans="1:83" ht="13.8" customHeight="1" x14ac:dyDescent="0.25">
      <c r="A143" s="16" t="s">
        <v>103</v>
      </c>
      <c r="B143" s="16" t="s">
        <v>112</v>
      </c>
      <c r="C143" s="16" t="s">
        <v>518</v>
      </c>
      <c r="D143" s="17" t="s">
        <v>251</v>
      </c>
      <c r="E143" s="158" t="s">
        <v>438</v>
      </c>
      <c r="F143" s="158" t="s">
        <v>493</v>
      </c>
      <c r="G143" s="168"/>
      <c r="H143" s="20">
        <v>1</v>
      </c>
      <c r="I143" s="21">
        <v>56</v>
      </c>
      <c r="J143" s="21">
        <v>0</v>
      </c>
      <c r="K143" s="21">
        <v>0</v>
      </c>
      <c r="L143" s="21">
        <v>0</v>
      </c>
      <c r="M143" s="21">
        <v>0</v>
      </c>
      <c r="N143" s="21">
        <v>0</v>
      </c>
      <c r="O143" s="21">
        <v>0</v>
      </c>
      <c r="P143" s="21">
        <v>0</v>
      </c>
      <c r="Q143" s="21">
        <v>0</v>
      </c>
      <c r="R143" s="21">
        <v>0</v>
      </c>
      <c r="S143" s="21">
        <v>0</v>
      </c>
      <c r="T143" s="21">
        <v>0</v>
      </c>
      <c r="U143" s="21">
        <v>0</v>
      </c>
      <c r="V143" s="21">
        <v>0</v>
      </c>
      <c r="W143" s="21">
        <v>0</v>
      </c>
      <c r="X143" s="21">
        <v>0</v>
      </c>
      <c r="Y143" s="21">
        <v>0</v>
      </c>
      <c r="Z143" s="21">
        <v>0</v>
      </c>
      <c r="AA143" s="21">
        <v>0</v>
      </c>
      <c r="AB143" s="21">
        <v>0</v>
      </c>
      <c r="AC143" s="21">
        <v>0</v>
      </c>
      <c r="AD143" s="21">
        <v>0</v>
      </c>
      <c r="AE143" s="21">
        <v>0</v>
      </c>
      <c r="AF143" s="21">
        <v>0</v>
      </c>
      <c r="AG143" s="21">
        <v>0</v>
      </c>
      <c r="AH143" s="21">
        <v>0</v>
      </c>
      <c r="AI143" s="21">
        <v>0</v>
      </c>
      <c r="AJ143" s="21">
        <v>0</v>
      </c>
      <c r="AK143" s="21">
        <v>0</v>
      </c>
      <c r="AL143" s="21">
        <v>0</v>
      </c>
      <c r="AM143" s="21">
        <v>0</v>
      </c>
      <c r="AN143" s="21">
        <v>0</v>
      </c>
      <c r="AO143" s="21">
        <v>0</v>
      </c>
      <c r="AP143" s="21">
        <v>0</v>
      </c>
      <c r="AQ143" s="21">
        <v>0</v>
      </c>
      <c r="AR143" s="21">
        <v>0</v>
      </c>
      <c r="AS143" s="21">
        <v>0</v>
      </c>
      <c r="AT143" s="21">
        <v>0</v>
      </c>
      <c r="AU143" s="21">
        <v>0</v>
      </c>
      <c r="AV143" s="21">
        <v>0</v>
      </c>
      <c r="AW143" s="21">
        <v>0</v>
      </c>
      <c r="AX143" s="21">
        <v>0</v>
      </c>
      <c r="AY143" s="21">
        <v>0</v>
      </c>
      <c r="AZ143" s="22">
        <v>0</v>
      </c>
      <c r="BA143" s="22" t="e">
        <f>MAX(#REF!-AZ143,0)</f>
        <v>#REF!</v>
      </c>
      <c r="BB143" s="23" t="e">
        <f>IF(SUMPRODUCT($J$85:BA$85,$J143:BA143)&lt;0.5, "Pending", IF(BA143&lt;0.5, "Complete", "In Progress"))</f>
        <v>#REF!</v>
      </c>
      <c r="BC143" s="22">
        <v>0</v>
      </c>
      <c r="BD143" s="22" t="e">
        <f t="shared" si="18"/>
        <v>#REF!</v>
      </c>
      <c r="BE143" s="23" t="e">
        <f>IF(SUMPRODUCT($J$85:BD$85,$J143:BD143)&lt;0.5, "Pending", IF(BD143&lt;0.5, "Complete", "In Progress"))</f>
        <v>#REF!</v>
      </c>
      <c r="BF143" s="22">
        <v>0</v>
      </c>
      <c r="BG143" s="22" t="e">
        <f t="shared" si="19"/>
        <v>#REF!</v>
      </c>
      <c r="BH143" s="23" t="e">
        <f>IF(SUMPRODUCT($J$85:BG$85,$J143:BG143)&lt;0.5, "Pending", IF(BG143&lt;0.5, "Complete", "In Progress"))</f>
        <v>#REF!</v>
      </c>
      <c r="BI143" s="22">
        <v>0</v>
      </c>
      <c r="BJ143" s="22" t="e">
        <f t="shared" si="20"/>
        <v>#REF!</v>
      </c>
      <c r="BK143" s="23" t="e">
        <f>IF(SUMPRODUCT($J$85:BJ$85,$J143:BJ143)&lt;0.5, "Pending", IF(BJ143&lt;0.5, "Complete", "In Progress"))</f>
        <v>#REF!</v>
      </c>
      <c r="BL143" s="22">
        <v>0</v>
      </c>
      <c r="BM143" s="22" t="e">
        <f t="shared" si="21"/>
        <v>#REF!</v>
      </c>
      <c r="BN143" s="23" t="e">
        <f>IF(SUMPRODUCT($J$85:BM$85,$J143:BM143)&lt;0.5, "Pending", IF(BM143&lt;0.5, "Complete", "In Progress"))</f>
        <v>#REF!</v>
      </c>
      <c r="BO143" s="22">
        <v>0</v>
      </c>
      <c r="BP143" s="22" t="e">
        <f t="shared" si="22"/>
        <v>#REF!</v>
      </c>
      <c r="BQ143" s="23" t="e">
        <f>IF(SUMPRODUCT($J$85:BP$85,$J143:BP143)&lt;0.5, "Pending", IF(BP143&lt;0.5, "Complete", "In Progress"))</f>
        <v>#REF!</v>
      </c>
      <c r="BR143" s="22">
        <v>0</v>
      </c>
      <c r="BS143" s="22" t="e">
        <f t="shared" si="23"/>
        <v>#REF!</v>
      </c>
      <c r="BT143" s="23" t="e">
        <f>IF(SUMPRODUCT($J$85:BS$85,$J143:BS143)&lt;0.5, "Pending", IF(BS143&lt;0.5, "Complete", "In Progress"))</f>
        <v>#REF!</v>
      </c>
      <c r="BU143" s="22">
        <v>0</v>
      </c>
      <c r="BV143" s="22" t="e">
        <f t="shared" si="24"/>
        <v>#REF!</v>
      </c>
      <c r="BW143" s="23" t="e">
        <f>IF(SUMPRODUCT($J$85:BV$85,$J143:BV143)&lt;0.5, "Pending", IF(BV143&lt;0.5, "Complete", "In Progress"))</f>
        <v>#REF!</v>
      </c>
      <c r="BX143" s="22">
        <v>0</v>
      </c>
      <c r="BY143" s="22" t="e">
        <f t="shared" si="25"/>
        <v>#REF!</v>
      </c>
      <c r="BZ143" s="23" t="e">
        <f>IF(SUMPRODUCT($J$85:BY$85,$J143:BY143)&lt;0.5, "Pending", IF(BY143&lt;0.5, "Complete", "In Progress"))</f>
        <v>#REF!</v>
      </c>
      <c r="CA143" s="22">
        <v>0</v>
      </c>
      <c r="CB143" s="22" t="e">
        <f t="shared" si="26"/>
        <v>#REF!</v>
      </c>
      <c r="CC143" s="23" t="e">
        <f>IF(SUMPRODUCT($J$85:CB$85,$J143:CB143)&lt;0.5, "Pending", IF(CB143&lt;0.5, "Complete", "In Progress"))</f>
        <v>#REF!</v>
      </c>
      <c r="CD143" s="24"/>
      <c r="CE143" s="25">
        <f>SUMPRODUCT($H$85:AY$85,$H143:AY143)</f>
        <v>393</v>
      </c>
    </row>
    <row r="144" spans="1:83" ht="13.8" customHeight="1" x14ac:dyDescent="0.25">
      <c r="A144" s="16" t="s">
        <v>103</v>
      </c>
      <c r="B144" s="16" t="s">
        <v>112</v>
      </c>
      <c r="C144" s="16" t="s">
        <v>518</v>
      </c>
      <c r="D144" s="17" t="s">
        <v>252</v>
      </c>
      <c r="E144" s="158" t="s">
        <v>439</v>
      </c>
      <c r="F144" s="158" t="s">
        <v>494</v>
      </c>
      <c r="G144" s="19"/>
      <c r="H144" s="20">
        <v>1</v>
      </c>
      <c r="I144" s="21">
        <v>6</v>
      </c>
      <c r="J144" s="21">
        <v>0</v>
      </c>
      <c r="K144" s="21">
        <v>0</v>
      </c>
      <c r="L144" s="21">
        <v>0</v>
      </c>
      <c r="M144" s="21">
        <v>0</v>
      </c>
      <c r="N144" s="21">
        <v>0</v>
      </c>
      <c r="O144" s="21">
        <v>0</v>
      </c>
      <c r="P144" s="21">
        <v>0</v>
      </c>
      <c r="Q144" s="21">
        <v>0</v>
      </c>
      <c r="R144" s="21">
        <v>0</v>
      </c>
      <c r="S144" s="21">
        <v>0</v>
      </c>
      <c r="T144" s="21">
        <v>0</v>
      </c>
      <c r="U144" s="21">
        <v>0</v>
      </c>
      <c r="V144" s="21">
        <v>0</v>
      </c>
      <c r="W144" s="21">
        <v>0</v>
      </c>
      <c r="X144" s="21">
        <v>0</v>
      </c>
      <c r="Y144" s="21">
        <v>0</v>
      </c>
      <c r="Z144" s="21">
        <v>0</v>
      </c>
      <c r="AA144" s="21">
        <v>0</v>
      </c>
      <c r="AB144" s="21">
        <v>0</v>
      </c>
      <c r="AC144" s="21">
        <v>0</v>
      </c>
      <c r="AD144" s="21">
        <v>0</v>
      </c>
      <c r="AE144" s="21">
        <v>0</v>
      </c>
      <c r="AF144" s="21">
        <v>0</v>
      </c>
      <c r="AG144" s="21">
        <v>0</v>
      </c>
      <c r="AH144" s="21">
        <v>0</v>
      </c>
      <c r="AI144" s="21">
        <v>0</v>
      </c>
      <c r="AJ144" s="21">
        <v>0</v>
      </c>
      <c r="AK144" s="21">
        <v>0</v>
      </c>
      <c r="AL144" s="21">
        <v>0</v>
      </c>
      <c r="AM144" s="21">
        <v>0</v>
      </c>
      <c r="AN144" s="21">
        <v>0</v>
      </c>
      <c r="AO144" s="21">
        <v>0</v>
      </c>
      <c r="AP144" s="21">
        <v>0</v>
      </c>
      <c r="AQ144" s="21">
        <v>0</v>
      </c>
      <c r="AR144" s="21">
        <v>0</v>
      </c>
      <c r="AS144" s="21">
        <v>0</v>
      </c>
      <c r="AT144" s="21">
        <v>0</v>
      </c>
      <c r="AU144" s="21">
        <v>0</v>
      </c>
      <c r="AV144" s="21">
        <v>0</v>
      </c>
      <c r="AW144" s="21">
        <v>0</v>
      </c>
      <c r="AX144" s="21">
        <v>0</v>
      </c>
      <c r="AY144" s="21">
        <v>0</v>
      </c>
      <c r="AZ144" s="22">
        <v>0</v>
      </c>
      <c r="BA144" s="22" t="e">
        <f>MAX(#REF!-AZ144,0)</f>
        <v>#REF!</v>
      </c>
      <c r="BB144" s="23" t="e">
        <f>IF(SUMPRODUCT($J$85:BA$85,$J144:BA144)&lt;0.5, "Pending", IF(BA144&lt;0.5, "Complete", "In Progress"))</f>
        <v>#REF!</v>
      </c>
      <c r="BC144" s="22">
        <v>0</v>
      </c>
      <c r="BD144" s="22" t="e">
        <f t="shared" si="18"/>
        <v>#REF!</v>
      </c>
      <c r="BE144" s="23" t="e">
        <f>IF(SUMPRODUCT($J$85:BD$85,$J144:BD144)&lt;0.5, "Pending", IF(BD144&lt;0.5, "Complete", "In Progress"))</f>
        <v>#REF!</v>
      </c>
      <c r="BF144" s="22">
        <v>0</v>
      </c>
      <c r="BG144" s="22" t="e">
        <f t="shared" si="19"/>
        <v>#REF!</v>
      </c>
      <c r="BH144" s="23" t="e">
        <f>IF(SUMPRODUCT($J$85:BG$85,$J144:BG144)&lt;0.5, "Pending", IF(BG144&lt;0.5, "Complete", "In Progress"))</f>
        <v>#REF!</v>
      </c>
      <c r="BI144" s="22">
        <v>0</v>
      </c>
      <c r="BJ144" s="22" t="e">
        <f t="shared" si="20"/>
        <v>#REF!</v>
      </c>
      <c r="BK144" s="23" t="e">
        <f>IF(SUMPRODUCT($J$85:BJ$85,$J144:BJ144)&lt;0.5, "Pending", IF(BJ144&lt;0.5, "Complete", "In Progress"))</f>
        <v>#REF!</v>
      </c>
      <c r="BL144" s="22">
        <v>0</v>
      </c>
      <c r="BM144" s="22" t="e">
        <f t="shared" si="21"/>
        <v>#REF!</v>
      </c>
      <c r="BN144" s="23" t="e">
        <f>IF(SUMPRODUCT($J$85:BM$85,$J144:BM144)&lt;0.5, "Pending", IF(BM144&lt;0.5, "Complete", "In Progress"))</f>
        <v>#REF!</v>
      </c>
      <c r="BO144" s="22">
        <v>0</v>
      </c>
      <c r="BP144" s="22" t="e">
        <f t="shared" si="22"/>
        <v>#REF!</v>
      </c>
      <c r="BQ144" s="23" t="e">
        <f>IF(SUMPRODUCT($J$85:BP$85,$J144:BP144)&lt;0.5, "Pending", IF(BP144&lt;0.5, "Complete", "In Progress"))</f>
        <v>#REF!</v>
      </c>
      <c r="BR144" s="22">
        <v>0</v>
      </c>
      <c r="BS144" s="22" t="e">
        <f t="shared" si="23"/>
        <v>#REF!</v>
      </c>
      <c r="BT144" s="23" t="e">
        <f>IF(SUMPRODUCT($J$85:BS$85,$J144:BS144)&lt;0.5, "Pending", IF(BS144&lt;0.5, "Complete", "In Progress"))</f>
        <v>#REF!</v>
      </c>
      <c r="BU144" s="22">
        <v>0</v>
      </c>
      <c r="BV144" s="22" t="e">
        <f t="shared" si="24"/>
        <v>#REF!</v>
      </c>
      <c r="BW144" s="23" t="e">
        <f>IF(SUMPRODUCT($J$85:BV$85,$J144:BV144)&lt;0.5, "Pending", IF(BV144&lt;0.5, "Complete", "In Progress"))</f>
        <v>#REF!</v>
      </c>
      <c r="BX144" s="22">
        <v>0</v>
      </c>
      <c r="BY144" s="22" t="e">
        <f t="shared" si="25"/>
        <v>#REF!</v>
      </c>
      <c r="BZ144" s="23" t="e">
        <f>IF(SUMPRODUCT($J$85:BY$85,$J144:BY144)&lt;0.5, "Pending", IF(BY144&lt;0.5, "Complete", "In Progress"))</f>
        <v>#REF!</v>
      </c>
      <c r="CA144" s="22">
        <v>0</v>
      </c>
      <c r="CB144" s="22" t="e">
        <f t="shared" si="26"/>
        <v>#REF!</v>
      </c>
      <c r="CC144" s="23" t="e">
        <f>IF(SUMPRODUCT($J$85:CB$85,$J144:CB144)&lt;0.5, "Pending", IF(CB144&lt;0.5, "Complete", "In Progress"))</f>
        <v>#REF!</v>
      </c>
      <c r="CD144" s="24"/>
      <c r="CE144" s="25">
        <f>SUMPRODUCT($H$85:AY$85,$H144:AY144)</f>
        <v>43</v>
      </c>
    </row>
    <row r="145" spans="1:83" ht="13.8" customHeight="1" x14ac:dyDescent="0.25">
      <c r="A145" s="16" t="s">
        <v>104</v>
      </c>
      <c r="B145" s="16" t="s">
        <v>122</v>
      </c>
      <c r="C145" s="16" t="s">
        <v>518</v>
      </c>
      <c r="D145" s="17" t="s">
        <v>253</v>
      </c>
      <c r="E145" s="158" t="s">
        <v>440</v>
      </c>
      <c r="F145" s="158" t="s">
        <v>497</v>
      </c>
      <c r="G145" s="19"/>
      <c r="H145" s="20">
        <v>1</v>
      </c>
      <c r="I145" s="21">
        <v>6</v>
      </c>
      <c r="J145" s="21">
        <v>0</v>
      </c>
      <c r="K145" s="21">
        <v>0</v>
      </c>
      <c r="L145" s="21">
        <v>0</v>
      </c>
      <c r="M145" s="21">
        <v>0</v>
      </c>
      <c r="N145" s="21">
        <v>0</v>
      </c>
      <c r="O145" s="21">
        <v>0</v>
      </c>
      <c r="P145" s="21">
        <v>0</v>
      </c>
      <c r="Q145" s="21">
        <v>0</v>
      </c>
      <c r="R145" s="21">
        <v>0</v>
      </c>
      <c r="S145" s="21">
        <v>0</v>
      </c>
      <c r="T145" s="21">
        <v>0</v>
      </c>
      <c r="U145" s="21">
        <v>0</v>
      </c>
      <c r="V145" s="21">
        <v>0</v>
      </c>
      <c r="W145" s="21">
        <v>0</v>
      </c>
      <c r="X145" s="21">
        <v>0</v>
      </c>
      <c r="Y145" s="21">
        <v>0</v>
      </c>
      <c r="Z145" s="21">
        <v>0</v>
      </c>
      <c r="AA145" s="21">
        <v>0</v>
      </c>
      <c r="AB145" s="21">
        <v>0</v>
      </c>
      <c r="AC145" s="21">
        <v>0</v>
      </c>
      <c r="AD145" s="21">
        <v>0</v>
      </c>
      <c r="AE145" s="21">
        <v>0</v>
      </c>
      <c r="AF145" s="21">
        <v>0</v>
      </c>
      <c r="AG145" s="21">
        <v>0</v>
      </c>
      <c r="AH145" s="21">
        <v>0</v>
      </c>
      <c r="AI145" s="21">
        <v>0</v>
      </c>
      <c r="AJ145" s="21">
        <v>0</v>
      </c>
      <c r="AK145" s="21">
        <v>0</v>
      </c>
      <c r="AL145" s="21">
        <v>0</v>
      </c>
      <c r="AM145" s="21">
        <v>0</v>
      </c>
      <c r="AN145" s="21">
        <v>0</v>
      </c>
      <c r="AO145" s="21">
        <v>0</v>
      </c>
      <c r="AP145" s="21">
        <v>0</v>
      </c>
      <c r="AQ145" s="21">
        <v>0</v>
      </c>
      <c r="AR145" s="21">
        <v>0</v>
      </c>
      <c r="AS145" s="21">
        <v>0</v>
      </c>
      <c r="AT145" s="21">
        <v>0</v>
      </c>
      <c r="AU145" s="21">
        <v>0</v>
      </c>
      <c r="AV145" s="21">
        <v>0</v>
      </c>
      <c r="AW145" s="21">
        <v>0</v>
      </c>
      <c r="AX145" s="21">
        <v>0</v>
      </c>
      <c r="AY145" s="21">
        <v>0</v>
      </c>
      <c r="AZ145" s="22">
        <v>0</v>
      </c>
      <c r="BA145" s="22" t="e">
        <f>MAX(#REF!-AZ145,0)</f>
        <v>#REF!</v>
      </c>
      <c r="BB145" s="23" t="e">
        <f>IF(SUMPRODUCT($J$85:BA$85,$J145:BA145)&lt;0.5, "Pending", IF(BA145&lt;0.5, "Complete", "In Progress"))</f>
        <v>#REF!</v>
      </c>
      <c r="BC145" s="22">
        <v>0</v>
      </c>
      <c r="BD145" s="22" t="e">
        <f t="shared" si="18"/>
        <v>#REF!</v>
      </c>
      <c r="BE145" s="23" t="e">
        <f>IF(SUMPRODUCT($J$85:BD$85,$J145:BD145)&lt;0.5, "Pending", IF(BD145&lt;0.5, "Complete", "In Progress"))</f>
        <v>#REF!</v>
      </c>
      <c r="BF145" s="22">
        <v>0</v>
      </c>
      <c r="BG145" s="22" t="e">
        <f t="shared" si="19"/>
        <v>#REF!</v>
      </c>
      <c r="BH145" s="23" t="e">
        <f>IF(SUMPRODUCT($J$85:BG$85,$J145:BG145)&lt;0.5, "Pending", IF(BG145&lt;0.5, "Complete", "In Progress"))</f>
        <v>#REF!</v>
      </c>
      <c r="BI145" s="22">
        <v>0</v>
      </c>
      <c r="BJ145" s="22" t="e">
        <f t="shared" si="20"/>
        <v>#REF!</v>
      </c>
      <c r="BK145" s="23" t="e">
        <f>IF(SUMPRODUCT($J$85:BJ$85,$J145:BJ145)&lt;0.5, "Pending", IF(BJ145&lt;0.5, "Complete", "In Progress"))</f>
        <v>#REF!</v>
      </c>
      <c r="BL145" s="22">
        <v>0</v>
      </c>
      <c r="BM145" s="22" t="e">
        <f t="shared" si="21"/>
        <v>#REF!</v>
      </c>
      <c r="BN145" s="23" t="e">
        <f>IF(SUMPRODUCT($J$85:BM$85,$J145:BM145)&lt;0.5, "Pending", IF(BM145&lt;0.5, "Complete", "In Progress"))</f>
        <v>#REF!</v>
      </c>
      <c r="BO145" s="22">
        <v>0</v>
      </c>
      <c r="BP145" s="22" t="e">
        <f t="shared" si="22"/>
        <v>#REF!</v>
      </c>
      <c r="BQ145" s="23" t="e">
        <f>IF(SUMPRODUCT($J$85:BP$85,$J145:BP145)&lt;0.5, "Pending", IF(BP145&lt;0.5, "Complete", "In Progress"))</f>
        <v>#REF!</v>
      </c>
      <c r="BR145" s="22">
        <v>0</v>
      </c>
      <c r="BS145" s="22" t="e">
        <f t="shared" si="23"/>
        <v>#REF!</v>
      </c>
      <c r="BT145" s="23" t="e">
        <f>IF(SUMPRODUCT($J$85:BS$85,$J145:BS145)&lt;0.5, "Pending", IF(BS145&lt;0.5, "Complete", "In Progress"))</f>
        <v>#REF!</v>
      </c>
      <c r="BU145" s="22">
        <v>0</v>
      </c>
      <c r="BV145" s="22" t="e">
        <f t="shared" si="24"/>
        <v>#REF!</v>
      </c>
      <c r="BW145" s="23" t="e">
        <f>IF(SUMPRODUCT($J$85:BV$85,$J145:BV145)&lt;0.5, "Pending", IF(BV145&lt;0.5, "Complete", "In Progress"))</f>
        <v>#REF!</v>
      </c>
      <c r="BX145" s="22">
        <v>0</v>
      </c>
      <c r="BY145" s="22" t="e">
        <f t="shared" si="25"/>
        <v>#REF!</v>
      </c>
      <c r="BZ145" s="23" t="e">
        <f>IF(SUMPRODUCT($J$85:BY$85,$J145:BY145)&lt;0.5, "Pending", IF(BY145&lt;0.5, "Complete", "In Progress"))</f>
        <v>#REF!</v>
      </c>
      <c r="CA145" s="22">
        <v>0</v>
      </c>
      <c r="CB145" s="22" t="e">
        <f t="shared" si="26"/>
        <v>#REF!</v>
      </c>
      <c r="CC145" s="23" t="e">
        <f>IF(SUMPRODUCT($J$85:CB$85,$J145:CB145)&lt;0.5, "Pending", IF(CB145&lt;0.5, "Complete", "In Progress"))</f>
        <v>#REF!</v>
      </c>
      <c r="CD145" s="24"/>
      <c r="CE145" s="25">
        <f>SUMPRODUCT($H$85:AY$85,$H145:AY145)</f>
        <v>43</v>
      </c>
    </row>
    <row r="146" spans="1:83" ht="13.8" customHeight="1" x14ac:dyDescent="0.25">
      <c r="A146" s="16" t="s">
        <v>103</v>
      </c>
      <c r="B146" s="16" t="s">
        <v>112</v>
      </c>
      <c r="C146" s="16" t="s">
        <v>518</v>
      </c>
      <c r="D146" s="17" t="s">
        <v>254</v>
      </c>
      <c r="E146" s="158" t="s">
        <v>441</v>
      </c>
      <c r="F146" s="158" t="s">
        <v>498</v>
      </c>
      <c r="G146" s="19"/>
      <c r="H146" s="20">
        <v>1</v>
      </c>
      <c r="I146" s="21">
        <v>6</v>
      </c>
      <c r="J146" s="21">
        <v>0</v>
      </c>
      <c r="K146" s="21">
        <v>0</v>
      </c>
      <c r="L146" s="21">
        <v>0</v>
      </c>
      <c r="M146" s="21">
        <v>0</v>
      </c>
      <c r="N146" s="21">
        <v>0</v>
      </c>
      <c r="O146" s="21">
        <v>0</v>
      </c>
      <c r="P146" s="21">
        <v>0</v>
      </c>
      <c r="Q146" s="21">
        <v>0</v>
      </c>
      <c r="R146" s="21">
        <v>0</v>
      </c>
      <c r="S146" s="21">
        <v>0</v>
      </c>
      <c r="T146" s="21">
        <v>0</v>
      </c>
      <c r="U146" s="21">
        <v>0</v>
      </c>
      <c r="V146" s="21">
        <v>0</v>
      </c>
      <c r="W146" s="21">
        <v>0</v>
      </c>
      <c r="X146" s="21">
        <v>0</v>
      </c>
      <c r="Y146" s="21">
        <v>0</v>
      </c>
      <c r="Z146" s="21">
        <v>0</v>
      </c>
      <c r="AA146" s="21">
        <v>0</v>
      </c>
      <c r="AB146" s="21">
        <v>0</v>
      </c>
      <c r="AC146" s="21">
        <v>0</v>
      </c>
      <c r="AD146" s="21">
        <v>0</v>
      </c>
      <c r="AE146" s="21">
        <v>0</v>
      </c>
      <c r="AF146" s="21">
        <v>0</v>
      </c>
      <c r="AG146" s="21">
        <v>0</v>
      </c>
      <c r="AH146" s="21">
        <v>0</v>
      </c>
      <c r="AI146" s="21">
        <v>0</v>
      </c>
      <c r="AJ146" s="21">
        <v>0</v>
      </c>
      <c r="AK146" s="21">
        <v>0</v>
      </c>
      <c r="AL146" s="21">
        <v>0</v>
      </c>
      <c r="AM146" s="21">
        <v>0</v>
      </c>
      <c r="AN146" s="21">
        <v>0</v>
      </c>
      <c r="AO146" s="21">
        <v>0</v>
      </c>
      <c r="AP146" s="21">
        <v>0</v>
      </c>
      <c r="AQ146" s="21">
        <v>0</v>
      </c>
      <c r="AR146" s="21">
        <v>0</v>
      </c>
      <c r="AS146" s="21">
        <v>0</v>
      </c>
      <c r="AT146" s="21">
        <v>0</v>
      </c>
      <c r="AU146" s="21">
        <v>0</v>
      </c>
      <c r="AV146" s="21">
        <v>0</v>
      </c>
      <c r="AW146" s="21">
        <v>0</v>
      </c>
      <c r="AX146" s="21">
        <v>0</v>
      </c>
      <c r="AY146" s="21">
        <v>0</v>
      </c>
      <c r="AZ146" s="22">
        <v>0</v>
      </c>
      <c r="BA146" s="22" t="e">
        <f>MAX(#REF!-AZ146,0)</f>
        <v>#REF!</v>
      </c>
      <c r="BB146" s="23" t="e">
        <f>IF(SUMPRODUCT($J$85:BA$85,$J146:BA146)&lt;0.5, "Pending", IF(BA146&lt;0.5, "Complete", "In Progress"))</f>
        <v>#REF!</v>
      </c>
      <c r="BC146" s="22">
        <v>0</v>
      </c>
      <c r="BD146" s="22" t="e">
        <f t="shared" si="18"/>
        <v>#REF!</v>
      </c>
      <c r="BE146" s="23" t="e">
        <f>IF(SUMPRODUCT($J$85:BD$85,$J146:BD146)&lt;0.5, "Pending", IF(BD146&lt;0.5, "Complete", "In Progress"))</f>
        <v>#REF!</v>
      </c>
      <c r="BF146" s="22">
        <v>0</v>
      </c>
      <c r="BG146" s="22" t="e">
        <f t="shared" si="19"/>
        <v>#REF!</v>
      </c>
      <c r="BH146" s="23" t="e">
        <f>IF(SUMPRODUCT($J$85:BG$85,$J146:BG146)&lt;0.5, "Pending", IF(BG146&lt;0.5, "Complete", "In Progress"))</f>
        <v>#REF!</v>
      </c>
      <c r="BI146" s="22">
        <v>0</v>
      </c>
      <c r="BJ146" s="22" t="e">
        <f t="shared" si="20"/>
        <v>#REF!</v>
      </c>
      <c r="BK146" s="23" t="e">
        <f>IF(SUMPRODUCT($J$85:BJ$85,$J146:BJ146)&lt;0.5, "Pending", IF(BJ146&lt;0.5, "Complete", "In Progress"))</f>
        <v>#REF!</v>
      </c>
      <c r="BL146" s="22">
        <v>0</v>
      </c>
      <c r="BM146" s="22" t="e">
        <f t="shared" si="21"/>
        <v>#REF!</v>
      </c>
      <c r="BN146" s="23" t="e">
        <f>IF(SUMPRODUCT($J$85:BM$85,$J146:BM146)&lt;0.5, "Pending", IF(BM146&lt;0.5, "Complete", "In Progress"))</f>
        <v>#REF!</v>
      </c>
      <c r="BO146" s="22">
        <v>0</v>
      </c>
      <c r="BP146" s="22" t="e">
        <f t="shared" si="22"/>
        <v>#REF!</v>
      </c>
      <c r="BQ146" s="23" t="e">
        <f>IF(SUMPRODUCT($J$85:BP$85,$J146:BP146)&lt;0.5, "Pending", IF(BP146&lt;0.5, "Complete", "In Progress"))</f>
        <v>#REF!</v>
      </c>
      <c r="BR146" s="22">
        <v>0</v>
      </c>
      <c r="BS146" s="22" t="e">
        <f t="shared" si="23"/>
        <v>#REF!</v>
      </c>
      <c r="BT146" s="23" t="e">
        <f>IF(SUMPRODUCT($J$85:BS$85,$J146:BS146)&lt;0.5, "Pending", IF(BS146&lt;0.5, "Complete", "In Progress"))</f>
        <v>#REF!</v>
      </c>
      <c r="BU146" s="22">
        <v>0</v>
      </c>
      <c r="BV146" s="22" t="e">
        <f t="shared" si="24"/>
        <v>#REF!</v>
      </c>
      <c r="BW146" s="23" t="e">
        <f>IF(SUMPRODUCT($J$85:BV$85,$J146:BV146)&lt;0.5, "Pending", IF(BV146&lt;0.5, "Complete", "In Progress"))</f>
        <v>#REF!</v>
      </c>
      <c r="BX146" s="22">
        <v>0</v>
      </c>
      <c r="BY146" s="22" t="e">
        <f t="shared" si="25"/>
        <v>#REF!</v>
      </c>
      <c r="BZ146" s="23" t="e">
        <f>IF(SUMPRODUCT($J$85:BY$85,$J146:BY146)&lt;0.5, "Pending", IF(BY146&lt;0.5, "Complete", "In Progress"))</f>
        <v>#REF!</v>
      </c>
      <c r="CA146" s="22">
        <v>0</v>
      </c>
      <c r="CB146" s="22" t="e">
        <f t="shared" si="26"/>
        <v>#REF!</v>
      </c>
      <c r="CC146" s="23" t="e">
        <f>IF(SUMPRODUCT($J$85:CB$85,$J146:CB146)&lt;0.5, "Pending", IF(CB146&lt;0.5, "Complete", "In Progress"))</f>
        <v>#REF!</v>
      </c>
      <c r="CD146" s="24"/>
      <c r="CE146" s="25">
        <f>SUMPRODUCT($H$85:AY$85,$H146:AY146)</f>
        <v>43</v>
      </c>
    </row>
    <row r="147" spans="1:83" ht="13.8" customHeight="1" x14ac:dyDescent="0.25">
      <c r="A147" s="16" t="s">
        <v>104</v>
      </c>
      <c r="B147" s="16" t="s">
        <v>121</v>
      </c>
      <c r="C147" s="16" t="s">
        <v>518</v>
      </c>
      <c r="D147" s="17" t="s">
        <v>255</v>
      </c>
      <c r="E147" s="158" t="s">
        <v>442</v>
      </c>
      <c r="F147" s="158" t="s">
        <v>496</v>
      </c>
      <c r="G147" s="19"/>
      <c r="H147" s="20">
        <v>1</v>
      </c>
      <c r="I147" s="21">
        <v>6</v>
      </c>
      <c r="J147" s="21">
        <v>0</v>
      </c>
      <c r="K147" s="21">
        <v>0</v>
      </c>
      <c r="L147" s="21">
        <v>0</v>
      </c>
      <c r="M147" s="21">
        <v>0</v>
      </c>
      <c r="N147" s="21">
        <v>0</v>
      </c>
      <c r="O147" s="21">
        <v>0</v>
      </c>
      <c r="P147" s="21">
        <v>0</v>
      </c>
      <c r="Q147" s="21">
        <v>0</v>
      </c>
      <c r="R147" s="21">
        <v>0</v>
      </c>
      <c r="S147" s="21">
        <v>0</v>
      </c>
      <c r="T147" s="21">
        <v>0</v>
      </c>
      <c r="U147" s="21">
        <v>0</v>
      </c>
      <c r="V147" s="21">
        <v>0</v>
      </c>
      <c r="W147" s="21">
        <v>0</v>
      </c>
      <c r="X147" s="21">
        <v>0</v>
      </c>
      <c r="Y147" s="21">
        <v>0</v>
      </c>
      <c r="Z147" s="21">
        <v>0</v>
      </c>
      <c r="AA147" s="21">
        <v>0</v>
      </c>
      <c r="AB147" s="21">
        <v>0</v>
      </c>
      <c r="AC147" s="21">
        <v>0</v>
      </c>
      <c r="AD147" s="21">
        <v>0</v>
      </c>
      <c r="AE147" s="21">
        <v>0</v>
      </c>
      <c r="AF147" s="21">
        <v>0</v>
      </c>
      <c r="AG147" s="21">
        <v>0</v>
      </c>
      <c r="AH147" s="21">
        <v>0</v>
      </c>
      <c r="AI147" s="21">
        <v>0</v>
      </c>
      <c r="AJ147" s="21">
        <v>0</v>
      </c>
      <c r="AK147" s="21">
        <v>0</v>
      </c>
      <c r="AL147" s="21">
        <v>0</v>
      </c>
      <c r="AM147" s="21">
        <v>0</v>
      </c>
      <c r="AN147" s="21">
        <v>0</v>
      </c>
      <c r="AO147" s="21">
        <v>0</v>
      </c>
      <c r="AP147" s="21">
        <v>0</v>
      </c>
      <c r="AQ147" s="21">
        <v>0</v>
      </c>
      <c r="AR147" s="21">
        <v>0</v>
      </c>
      <c r="AS147" s="21">
        <v>0</v>
      </c>
      <c r="AT147" s="21">
        <v>0</v>
      </c>
      <c r="AU147" s="21">
        <v>0</v>
      </c>
      <c r="AV147" s="21">
        <v>0</v>
      </c>
      <c r="AW147" s="21">
        <v>0</v>
      </c>
      <c r="AX147" s="21">
        <v>0</v>
      </c>
      <c r="AY147" s="21">
        <v>0</v>
      </c>
      <c r="AZ147" s="22">
        <v>0</v>
      </c>
      <c r="BA147" s="22" t="e">
        <f>MAX(#REF!-AZ147,0)</f>
        <v>#REF!</v>
      </c>
      <c r="BB147" s="23" t="e">
        <f>IF(SUMPRODUCT($J$85:BA$85,$J147:BA147)&lt;0.5, "Pending", IF(BA147&lt;0.5, "Complete", "In Progress"))</f>
        <v>#REF!</v>
      </c>
      <c r="BC147" s="22">
        <v>0</v>
      </c>
      <c r="BD147" s="22" t="e">
        <f t="shared" si="18"/>
        <v>#REF!</v>
      </c>
      <c r="BE147" s="23" t="e">
        <f>IF(SUMPRODUCT($J$85:BD$85,$J147:BD147)&lt;0.5, "Pending", IF(BD147&lt;0.5, "Complete", "In Progress"))</f>
        <v>#REF!</v>
      </c>
      <c r="BF147" s="22">
        <v>0</v>
      </c>
      <c r="BG147" s="22" t="e">
        <f t="shared" si="19"/>
        <v>#REF!</v>
      </c>
      <c r="BH147" s="23" t="e">
        <f>IF(SUMPRODUCT($J$85:BG$85,$J147:BG147)&lt;0.5, "Pending", IF(BG147&lt;0.5, "Complete", "In Progress"))</f>
        <v>#REF!</v>
      </c>
      <c r="BI147" s="22">
        <v>0</v>
      </c>
      <c r="BJ147" s="22" t="e">
        <f t="shared" si="20"/>
        <v>#REF!</v>
      </c>
      <c r="BK147" s="23" t="e">
        <f>IF(SUMPRODUCT($J$85:BJ$85,$J147:BJ147)&lt;0.5, "Pending", IF(BJ147&lt;0.5, "Complete", "In Progress"))</f>
        <v>#REF!</v>
      </c>
      <c r="BL147" s="22">
        <v>0</v>
      </c>
      <c r="BM147" s="22" t="e">
        <f t="shared" si="21"/>
        <v>#REF!</v>
      </c>
      <c r="BN147" s="23" t="e">
        <f>IF(SUMPRODUCT($J$85:BM$85,$J147:BM147)&lt;0.5, "Pending", IF(BM147&lt;0.5, "Complete", "In Progress"))</f>
        <v>#REF!</v>
      </c>
      <c r="BO147" s="22">
        <v>0</v>
      </c>
      <c r="BP147" s="22" t="e">
        <f t="shared" si="22"/>
        <v>#REF!</v>
      </c>
      <c r="BQ147" s="23" t="e">
        <f>IF(SUMPRODUCT($J$85:BP$85,$J147:BP147)&lt;0.5, "Pending", IF(BP147&lt;0.5, "Complete", "In Progress"))</f>
        <v>#REF!</v>
      </c>
      <c r="BR147" s="22">
        <v>0</v>
      </c>
      <c r="BS147" s="22" t="e">
        <f t="shared" si="23"/>
        <v>#REF!</v>
      </c>
      <c r="BT147" s="23" t="e">
        <f>IF(SUMPRODUCT($J$85:BS$85,$J147:BS147)&lt;0.5, "Pending", IF(BS147&lt;0.5, "Complete", "In Progress"))</f>
        <v>#REF!</v>
      </c>
      <c r="BU147" s="22">
        <v>0</v>
      </c>
      <c r="BV147" s="22" t="e">
        <f t="shared" si="24"/>
        <v>#REF!</v>
      </c>
      <c r="BW147" s="23" t="e">
        <f>IF(SUMPRODUCT($J$85:BV$85,$J147:BV147)&lt;0.5, "Pending", IF(BV147&lt;0.5, "Complete", "In Progress"))</f>
        <v>#REF!</v>
      </c>
      <c r="BX147" s="22">
        <v>0</v>
      </c>
      <c r="BY147" s="22" t="e">
        <f t="shared" si="25"/>
        <v>#REF!</v>
      </c>
      <c r="BZ147" s="23" t="e">
        <f>IF(SUMPRODUCT($J$85:BY$85,$J147:BY147)&lt;0.5, "Pending", IF(BY147&lt;0.5, "Complete", "In Progress"))</f>
        <v>#REF!</v>
      </c>
      <c r="CA147" s="22">
        <v>0</v>
      </c>
      <c r="CB147" s="22" t="e">
        <f t="shared" si="26"/>
        <v>#REF!</v>
      </c>
      <c r="CC147" s="23" t="e">
        <f>IF(SUMPRODUCT($J$85:CB$85,$J147:CB147)&lt;0.5, "Pending", IF(CB147&lt;0.5, "Complete", "In Progress"))</f>
        <v>#REF!</v>
      </c>
      <c r="CD147" s="24"/>
      <c r="CE147" s="25">
        <f>SUMPRODUCT($H$85:AY$85,$H147:AY147)</f>
        <v>43</v>
      </c>
    </row>
    <row r="148" spans="1:83" ht="13.8" customHeight="1" x14ac:dyDescent="0.25">
      <c r="A148" s="16" t="s">
        <v>104</v>
      </c>
      <c r="B148" s="16" t="s">
        <v>122</v>
      </c>
      <c r="C148" s="16" t="s">
        <v>518</v>
      </c>
      <c r="D148" s="17" t="s">
        <v>256</v>
      </c>
      <c r="E148" s="158" t="s">
        <v>443</v>
      </c>
      <c r="F148" s="158" t="s">
        <v>495</v>
      </c>
      <c r="G148" s="169"/>
      <c r="H148" s="20">
        <v>1</v>
      </c>
      <c r="I148" s="21">
        <v>6</v>
      </c>
      <c r="J148" s="21">
        <v>0</v>
      </c>
      <c r="K148" s="21">
        <v>0</v>
      </c>
      <c r="L148" s="21">
        <v>0</v>
      </c>
      <c r="M148" s="21">
        <v>0</v>
      </c>
      <c r="N148" s="21">
        <v>0</v>
      </c>
      <c r="O148" s="21">
        <v>0</v>
      </c>
      <c r="P148" s="21">
        <v>0</v>
      </c>
      <c r="Q148" s="21">
        <v>0</v>
      </c>
      <c r="R148" s="21">
        <v>0</v>
      </c>
      <c r="S148" s="21">
        <v>0</v>
      </c>
      <c r="T148" s="21">
        <v>0</v>
      </c>
      <c r="U148" s="21">
        <v>0</v>
      </c>
      <c r="V148" s="21">
        <v>0</v>
      </c>
      <c r="W148" s="21">
        <v>0</v>
      </c>
      <c r="X148" s="21">
        <v>0</v>
      </c>
      <c r="Y148" s="21">
        <v>0</v>
      </c>
      <c r="Z148" s="21">
        <v>0</v>
      </c>
      <c r="AA148" s="21">
        <v>0</v>
      </c>
      <c r="AB148" s="21">
        <v>0</v>
      </c>
      <c r="AC148" s="21">
        <v>0</v>
      </c>
      <c r="AD148" s="21">
        <v>0</v>
      </c>
      <c r="AE148" s="21">
        <v>0</v>
      </c>
      <c r="AF148" s="21">
        <v>0</v>
      </c>
      <c r="AG148" s="21">
        <v>0</v>
      </c>
      <c r="AH148" s="21">
        <v>0</v>
      </c>
      <c r="AI148" s="21">
        <v>0</v>
      </c>
      <c r="AJ148" s="21">
        <v>0</v>
      </c>
      <c r="AK148" s="21">
        <v>0</v>
      </c>
      <c r="AL148" s="21">
        <v>0</v>
      </c>
      <c r="AM148" s="21">
        <v>0</v>
      </c>
      <c r="AN148" s="21">
        <v>0</v>
      </c>
      <c r="AO148" s="21">
        <v>0</v>
      </c>
      <c r="AP148" s="21">
        <v>0</v>
      </c>
      <c r="AQ148" s="21">
        <v>0</v>
      </c>
      <c r="AR148" s="21">
        <v>0</v>
      </c>
      <c r="AS148" s="21">
        <v>0</v>
      </c>
      <c r="AT148" s="21">
        <v>0</v>
      </c>
      <c r="AU148" s="21">
        <v>0</v>
      </c>
      <c r="AV148" s="21">
        <v>0</v>
      </c>
      <c r="AW148" s="21">
        <v>0</v>
      </c>
      <c r="AX148" s="21">
        <v>0</v>
      </c>
      <c r="AY148" s="21">
        <v>0</v>
      </c>
      <c r="AZ148" s="22">
        <v>0</v>
      </c>
      <c r="BA148" s="22" t="e">
        <f>MAX(#REF!-AZ148,0)</f>
        <v>#REF!</v>
      </c>
      <c r="BB148" s="23" t="e">
        <f>IF(SUMPRODUCT($J$85:BA$85,$J148:BA148)&lt;0.5, "Pending", IF(BA148&lt;0.5, "Complete", "In Progress"))</f>
        <v>#REF!</v>
      </c>
      <c r="BC148" s="22">
        <v>0</v>
      </c>
      <c r="BD148" s="22" t="e">
        <f t="shared" si="18"/>
        <v>#REF!</v>
      </c>
      <c r="BE148" s="23" t="e">
        <f>IF(SUMPRODUCT($J$85:BD$85,$J148:BD148)&lt;0.5, "Pending", IF(BD148&lt;0.5, "Complete", "In Progress"))</f>
        <v>#REF!</v>
      </c>
      <c r="BF148" s="22">
        <v>0</v>
      </c>
      <c r="BG148" s="22" t="e">
        <f t="shared" si="19"/>
        <v>#REF!</v>
      </c>
      <c r="BH148" s="23" t="e">
        <f>IF(SUMPRODUCT($J$85:BG$85,$J148:BG148)&lt;0.5, "Pending", IF(BG148&lt;0.5, "Complete", "In Progress"))</f>
        <v>#REF!</v>
      </c>
      <c r="BI148" s="22">
        <v>0</v>
      </c>
      <c r="BJ148" s="22" t="e">
        <f t="shared" si="20"/>
        <v>#REF!</v>
      </c>
      <c r="BK148" s="23" t="e">
        <f>IF(SUMPRODUCT($J$85:BJ$85,$J148:BJ148)&lt;0.5, "Pending", IF(BJ148&lt;0.5, "Complete", "In Progress"))</f>
        <v>#REF!</v>
      </c>
      <c r="BL148" s="22">
        <v>0</v>
      </c>
      <c r="BM148" s="22" t="e">
        <f t="shared" si="21"/>
        <v>#REF!</v>
      </c>
      <c r="BN148" s="23" t="e">
        <f>IF(SUMPRODUCT($J$85:BM$85,$J148:BM148)&lt;0.5, "Pending", IF(BM148&lt;0.5, "Complete", "In Progress"))</f>
        <v>#REF!</v>
      </c>
      <c r="BO148" s="22">
        <v>0</v>
      </c>
      <c r="BP148" s="22" t="e">
        <f t="shared" si="22"/>
        <v>#REF!</v>
      </c>
      <c r="BQ148" s="23" t="e">
        <f>IF(SUMPRODUCT($J$85:BP$85,$J148:BP148)&lt;0.5, "Pending", IF(BP148&lt;0.5, "Complete", "In Progress"))</f>
        <v>#REF!</v>
      </c>
      <c r="BR148" s="22">
        <v>0</v>
      </c>
      <c r="BS148" s="22" t="e">
        <f t="shared" si="23"/>
        <v>#REF!</v>
      </c>
      <c r="BT148" s="23" t="e">
        <f>IF(SUMPRODUCT($J$85:BS$85,$J148:BS148)&lt;0.5, "Pending", IF(BS148&lt;0.5, "Complete", "In Progress"))</f>
        <v>#REF!</v>
      </c>
      <c r="BU148" s="22">
        <v>0</v>
      </c>
      <c r="BV148" s="22" t="e">
        <f t="shared" si="24"/>
        <v>#REF!</v>
      </c>
      <c r="BW148" s="23" t="e">
        <f>IF(SUMPRODUCT($J$85:BV$85,$J148:BV148)&lt;0.5, "Pending", IF(BV148&lt;0.5, "Complete", "In Progress"))</f>
        <v>#REF!</v>
      </c>
      <c r="BX148" s="22">
        <v>0</v>
      </c>
      <c r="BY148" s="22" t="e">
        <f t="shared" si="25"/>
        <v>#REF!</v>
      </c>
      <c r="BZ148" s="23" t="e">
        <f>IF(SUMPRODUCT($J$85:BY$85,$J148:BY148)&lt;0.5, "Pending", IF(BY148&lt;0.5, "Complete", "In Progress"))</f>
        <v>#REF!</v>
      </c>
      <c r="CA148" s="22">
        <v>0</v>
      </c>
      <c r="CB148" s="22" t="e">
        <f t="shared" si="26"/>
        <v>#REF!</v>
      </c>
      <c r="CC148" s="23" t="e">
        <f>IF(SUMPRODUCT($J$85:CB$85,$J148:CB148)&lt;0.5, "Pending", IF(CB148&lt;0.5, "Complete", "In Progress"))</f>
        <v>#REF!</v>
      </c>
      <c r="CD148" s="24"/>
      <c r="CE148" s="25">
        <f>SUMPRODUCT($H$85:AY$85,$H148:AY148)</f>
        <v>43</v>
      </c>
    </row>
    <row r="149" spans="1:83" ht="13.8" customHeight="1" x14ac:dyDescent="0.25">
      <c r="A149" s="16" t="s">
        <v>104</v>
      </c>
      <c r="B149" s="16" t="s">
        <v>112</v>
      </c>
      <c r="C149" s="16" t="s">
        <v>518</v>
      </c>
      <c r="D149" s="17" t="s">
        <v>257</v>
      </c>
      <c r="E149" s="158" t="s">
        <v>444</v>
      </c>
      <c r="F149" s="158" t="s">
        <v>493</v>
      </c>
      <c r="G149" s="168"/>
      <c r="H149" s="20">
        <v>1</v>
      </c>
      <c r="I149" s="21">
        <v>56</v>
      </c>
      <c r="J149" s="21">
        <v>0</v>
      </c>
      <c r="K149" s="21">
        <v>0</v>
      </c>
      <c r="L149" s="21">
        <v>0</v>
      </c>
      <c r="M149" s="21">
        <v>0</v>
      </c>
      <c r="N149" s="21">
        <v>0</v>
      </c>
      <c r="O149" s="21">
        <v>0</v>
      </c>
      <c r="P149" s="21">
        <v>0</v>
      </c>
      <c r="Q149" s="21">
        <v>0</v>
      </c>
      <c r="R149" s="21">
        <v>0</v>
      </c>
      <c r="S149" s="21">
        <v>0</v>
      </c>
      <c r="T149" s="21">
        <v>0</v>
      </c>
      <c r="U149" s="21">
        <v>0</v>
      </c>
      <c r="V149" s="21">
        <v>0</v>
      </c>
      <c r="W149" s="21">
        <v>0</v>
      </c>
      <c r="X149" s="21">
        <v>0</v>
      </c>
      <c r="Y149" s="21">
        <v>0</v>
      </c>
      <c r="Z149" s="21">
        <v>0</v>
      </c>
      <c r="AA149" s="21">
        <v>0</v>
      </c>
      <c r="AB149" s="21">
        <v>0</v>
      </c>
      <c r="AC149" s="21">
        <v>0</v>
      </c>
      <c r="AD149" s="21">
        <v>0</v>
      </c>
      <c r="AE149" s="21">
        <v>0</v>
      </c>
      <c r="AF149" s="21">
        <v>0</v>
      </c>
      <c r="AG149" s="21">
        <v>0</v>
      </c>
      <c r="AH149" s="21">
        <v>0</v>
      </c>
      <c r="AI149" s="21">
        <v>0</v>
      </c>
      <c r="AJ149" s="21">
        <v>0</v>
      </c>
      <c r="AK149" s="21">
        <v>0</v>
      </c>
      <c r="AL149" s="21">
        <v>0</v>
      </c>
      <c r="AM149" s="21">
        <v>0</v>
      </c>
      <c r="AN149" s="21">
        <v>0</v>
      </c>
      <c r="AO149" s="21">
        <v>0</v>
      </c>
      <c r="AP149" s="21">
        <v>0</v>
      </c>
      <c r="AQ149" s="21">
        <v>0</v>
      </c>
      <c r="AR149" s="21">
        <v>0</v>
      </c>
      <c r="AS149" s="21">
        <v>0</v>
      </c>
      <c r="AT149" s="21">
        <v>0</v>
      </c>
      <c r="AU149" s="21">
        <v>0</v>
      </c>
      <c r="AV149" s="21">
        <v>0</v>
      </c>
      <c r="AW149" s="21">
        <v>0</v>
      </c>
      <c r="AX149" s="21">
        <v>0</v>
      </c>
      <c r="AY149" s="21">
        <v>0</v>
      </c>
      <c r="AZ149" s="22">
        <v>0</v>
      </c>
      <c r="BA149" s="22" t="e">
        <f>MAX(#REF!-AZ149,0)</f>
        <v>#REF!</v>
      </c>
      <c r="BB149" s="23" t="e">
        <f>IF(SUMPRODUCT($J$85:BA$85,$J149:BA149)&lt;0.5, "Pending", IF(BA149&lt;0.5, "Complete", "In Progress"))</f>
        <v>#REF!</v>
      </c>
      <c r="BC149" s="22">
        <v>0</v>
      </c>
      <c r="BD149" s="22" t="e">
        <f t="shared" si="18"/>
        <v>#REF!</v>
      </c>
      <c r="BE149" s="23" t="e">
        <f>IF(SUMPRODUCT($J$85:BD$85,$J149:BD149)&lt;0.5, "Pending", IF(BD149&lt;0.5, "Complete", "In Progress"))</f>
        <v>#REF!</v>
      </c>
      <c r="BF149" s="22">
        <v>0</v>
      </c>
      <c r="BG149" s="22" t="e">
        <f t="shared" si="19"/>
        <v>#REF!</v>
      </c>
      <c r="BH149" s="23" t="e">
        <f>IF(SUMPRODUCT($J$85:BG$85,$J149:BG149)&lt;0.5, "Pending", IF(BG149&lt;0.5, "Complete", "In Progress"))</f>
        <v>#REF!</v>
      </c>
      <c r="BI149" s="22">
        <v>0</v>
      </c>
      <c r="BJ149" s="22" t="e">
        <f t="shared" si="20"/>
        <v>#REF!</v>
      </c>
      <c r="BK149" s="23" t="e">
        <f>IF(SUMPRODUCT($J$85:BJ$85,$J149:BJ149)&lt;0.5, "Pending", IF(BJ149&lt;0.5, "Complete", "In Progress"))</f>
        <v>#REF!</v>
      </c>
      <c r="BL149" s="22">
        <v>0</v>
      </c>
      <c r="BM149" s="22" t="e">
        <f t="shared" si="21"/>
        <v>#REF!</v>
      </c>
      <c r="BN149" s="23" t="e">
        <f>IF(SUMPRODUCT($J$85:BM$85,$J149:BM149)&lt;0.5, "Pending", IF(BM149&lt;0.5, "Complete", "In Progress"))</f>
        <v>#REF!</v>
      </c>
      <c r="BO149" s="22">
        <v>0</v>
      </c>
      <c r="BP149" s="22" t="e">
        <f t="shared" si="22"/>
        <v>#REF!</v>
      </c>
      <c r="BQ149" s="23" t="e">
        <f>IF(SUMPRODUCT($J$85:BP$85,$J149:BP149)&lt;0.5, "Pending", IF(BP149&lt;0.5, "Complete", "In Progress"))</f>
        <v>#REF!</v>
      </c>
      <c r="BR149" s="22">
        <v>0</v>
      </c>
      <c r="BS149" s="22" t="e">
        <f t="shared" si="23"/>
        <v>#REF!</v>
      </c>
      <c r="BT149" s="23" t="e">
        <f>IF(SUMPRODUCT($J$85:BS$85,$J149:BS149)&lt;0.5, "Pending", IF(BS149&lt;0.5, "Complete", "In Progress"))</f>
        <v>#REF!</v>
      </c>
      <c r="BU149" s="22">
        <v>0</v>
      </c>
      <c r="BV149" s="22" t="e">
        <f t="shared" si="24"/>
        <v>#REF!</v>
      </c>
      <c r="BW149" s="23" t="e">
        <f>IF(SUMPRODUCT($J$85:BV$85,$J149:BV149)&lt;0.5, "Pending", IF(BV149&lt;0.5, "Complete", "In Progress"))</f>
        <v>#REF!</v>
      </c>
      <c r="BX149" s="22">
        <v>0</v>
      </c>
      <c r="BY149" s="22" t="e">
        <f t="shared" si="25"/>
        <v>#REF!</v>
      </c>
      <c r="BZ149" s="23" t="e">
        <f>IF(SUMPRODUCT($J$85:BY$85,$J149:BY149)&lt;0.5, "Pending", IF(BY149&lt;0.5, "Complete", "In Progress"))</f>
        <v>#REF!</v>
      </c>
      <c r="CA149" s="22">
        <v>0</v>
      </c>
      <c r="CB149" s="22" t="e">
        <f t="shared" si="26"/>
        <v>#REF!</v>
      </c>
      <c r="CC149" s="23" t="e">
        <f>IF(SUMPRODUCT($J$85:CB$85,$J149:CB149)&lt;0.5, "Pending", IF(CB149&lt;0.5, "Complete", "In Progress"))</f>
        <v>#REF!</v>
      </c>
      <c r="CD149" s="24"/>
      <c r="CE149" s="25">
        <f>SUMPRODUCT($H$85:AY$85,$H149:AY149)</f>
        <v>393</v>
      </c>
    </row>
    <row r="150" spans="1:83" ht="13.8" customHeight="1" x14ac:dyDescent="0.25">
      <c r="A150" s="16" t="s">
        <v>104</v>
      </c>
      <c r="B150" s="16" t="s">
        <v>121</v>
      </c>
      <c r="C150" s="16" t="s">
        <v>518</v>
      </c>
      <c r="D150" s="17" t="s">
        <v>258</v>
      </c>
      <c r="E150" s="158" t="s">
        <v>445</v>
      </c>
      <c r="F150" s="158" t="s">
        <v>494</v>
      </c>
      <c r="G150" s="19"/>
      <c r="H150" s="20">
        <v>1</v>
      </c>
      <c r="I150" s="21">
        <v>6</v>
      </c>
      <c r="J150" s="21">
        <v>0</v>
      </c>
      <c r="K150" s="21">
        <v>0</v>
      </c>
      <c r="L150" s="21">
        <v>0</v>
      </c>
      <c r="M150" s="21">
        <v>0</v>
      </c>
      <c r="N150" s="21">
        <v>0</v>
      </c>
      <c r="O150" s="21">
        <v>0</v>
      </c>
      <c r="P150" s="21">
        <v>0</v>
      </c>
      <c r="Q150" s="21">
        <v>0</v>
      </c>
      <c r="R150" s="21">
        <v>0</v>
      </c>
      <c r="S150" s="21">
        <v>0</v>
      </c>
      <c r="T150" s="21">
        <v>0</v>
      </c>
      <c r="U150" s="21">
        <v>0</v>
      </c>
      <c r="V150" s="21">
        <v>0</v>
      </c>
      <c r="W150" s="21">
        <v>0</v>
      </c>
      <c r="X150" s="21">
        <v>0</v>
      </c>
      <c r="Y150" s="21">
        <v>0</v>
      </c>
      <c r="Z150" s="21">
        <v>0</v>
      </c>
      <c r="AA150" s="21">
        <v>0</v>
      </c>
      <c r="AB150" s="21">
        <v>0</v>
      </c>
      <c r="AC150" s="21">
        <v>0</v>
      </c>
      <c r="AD150" s="21">
        <v>0</v>
      </c>
      <c r="AE150" s="21">
        <v>0</v>
      </c>
      <c r="AF150" s="21">
        <v>0</v>
      </c>
      <c r="AG150" s="21">
        <v>0</v>
      </c>
      <c r="AH150" s="21">
        <v>0</v>
      </c>
      <c r="AI150" s="21">
        <v>0</v>
      </c>
      <c r="AJ150" s="21">
        <v>0</v>
      </c>
      <c r="AK150" s="21">
        <v>0</v>
      </c>
      <c r="AL150" s="21">
        <v>0</v>
      </c>
      <c r="AM150" s="21">
        <v>0</v>
      </c>
      <c r="AN150" s="21">
        <v>0</v>
      </c>
      <c r="AO150" s="21">
        <v>0</v>
      </c>
      <c r="AP150" s="21">
        <v>0</v>
      </c>
      <c r="AQ150" s="21">
        <v>0</v>
      </c>
      <c r="AR150" s="21">
        <v>0</v>
      </c>
      <c r="AS150" s="21">
        <v>0</v>
      </c>
      <c r="AT150" s="21">
        <v>0</v>
      </c>
      <c r="AU150" s="21">
        <v>0</v>
      </c>
      <c r="AV150" s="21">
        <v>0</v>
      </c>
      <c r="AW150" s="21">
        <v>0</v>
      </c>
      <c r="AX150" s="21">
        <v>0</v>
      </c>
      <c r="AY150" s="21">
        <v>0</v>
      </c>
      <c r="AZ150" s="22">
        <v>0</v>
      </c>
      <c r="BA150" s="22" t="e">
        <f>MAX(#REF!-AZ150,0)</f>
        <v>#REF!</v>
      </c>
      <c r="BB150" s="23" t="e">
        <f>IF(SUMPRODUCT($J$85:BA$85,$J150:BA150)&lt;0.5, "Pending", IF(BA150&lt;0.5, "Complete", "In Progress"))</f>
        <v>#REF!</v>
      </c>
      <c r="BC150" s="22">
        <v>0</v>
      </c>
      <c r="BD150" s="22" t="e">
        <f t="shared" si="18"/>
        <v>#REF!</v>
      </c>
      <c r="BE150" s="23" t="e">
        <f>IF(SUMPRODUCT($J$85:BD$85,$J150:BD150)&lt;0.5, "Pending", IF(BD150&lt;0.5, "Complete", "In Progress"))</f>
        <v>#REF!</v>
      </c>
      <c r="BF150" s="22">
        <v>0</v>
      </c>
      <c r="BG150" s="22" t="e">
        <f t="shared" si="19"/>
        <v>#REF!</v>
      </c>
      <c r="BH150" s="23" t="e">
        <f>IF(SUMPRODUCT($J$85:BG$85,$J150:BG150)&lt;0.5, "Pending", IF(BG150&lt;0.5, "Complete", "In Progress"))</f>
        <v>#REF!</v>
      </c>
      <c r="BI150" s="22">
        <v>0</v>
      </c>
      <c r="BJ150" s="22" t="e">
        <f t="shared" si="20"/>
        <v>#REF!</v>
      </c>
      <c r="BK150" s="23" t="e">
        <f>IF(SUMPRODUCT($J$85:BJ$85,$J150:BJ150)&lt;0.5, "Pending", IF(BJ150&lt;0.5, "Complete", "In Progress"))</f>
        <v>#REF!</v>
      </c>
      <c r="BL150" s="22">
        <v>0</v>
      </c>
      <c r="BM150" s="22" t="e">
        <f t="shared" si="21"/>
        <v>#REF!</v>
      </c>
      <c r="BN150" s="23" t="e">
        <f>IF(SUMPRODUCT($J$85:BM$85,$J150:BM150)&lt;0.5, "Pending", IF(BM150&lt;0.5, "Complete", "In Progress"))</f>
        <v>#REF!</v>
      </c>
      <c r="BO150" s="22">
        <v>0</v>
      </c>
      <c r="BP150" s="22" t="e">
        <f t="shared" si="22"/>
        <v>#REF!</v>
      </c>
      <c r="BQ150" s="23" t="e">
        <f>IF(SUMPRODUCT($J$85:BP$85,$J150:BP150)&lt;0.5, "Pending", IF(BP150&lt;0.5, "Complete", "In Progress"))</f>
        <v>#REF!</v>
      </c>
      <c r="BR150" s="22">
        <v>0</v>
      </c>
      <c r="BS150" s="22" t="e">
        <f t="shared" si="23"/>
        <v>#REF!</v>
      </c>
      <c r="BT150" s="23" t="e">
        <f>IF(SUMPRODUCT($J$85:BS$85,$J150:BS150)&lt;0.5, "Pending", IF(BS150&lt;0.5, "Complete", "In Progress"))</f>
        <v>#REF!</v>
      </c>
      <c r="BU150" s="22">
        <v>0</v>
      </c>
      <c r="BV150" s="22" t="e">
        <f t="shared" si="24"/>
        <v>#REF!</v>
      </c>
      <c r="BW150" s="23" t="e">
        <f>IF(SUMPRODUCT($J$85:BV$85,$J150:BV150)&lt;0.5, "Pending", IF(BV150&lt;0.5, "Complete", "In Progress"))</f>
        <v>#REF!</v>
      </c>
      <c r="BX150" s="22">
        <v>0</v>
      </c>
      <c r="BY150" s="22" t="e">
        <f t="shared" si="25"/>
        <v>#REF!</v>
      </c>
      <c r="BZ150" s="23" t="e">
        <f>IF(SUMPRODUCT($J$85:BY$85,$J150:BY150)&lt;0.5, "Pending", IF(BY150&lt;0.5, "Complete", "In Progress"))</f>
        <v>#REF!</v>
      </c>
      <c r="CA150" s="22">
        <v>0</v>
      </c>
      <c r="CB150" s="22" t="e">
        <f t="shared" si="26"/>
        <v>#REF!</v>
      </c>
      <c r="CC150" s="23" t="e">
        <f>IF(SUMPRODUCT($J$85:CB$85,$J150:CB150)&lt;0.5, "Pending", IF(CB150&lt;0.5, "Complete", "In Progress"))</f>
        <v>#REF!</v>
      </c>
      <c r="CD150" s="24"/>
      <c r="CE150" s="25">
        <f>SUMPRODUCT($H$85:AY$85,$H150:AY150)</f>
        <v>43</v>
      </c>
    </row>
    <row r="151" spans="1:83" ht="13.8" customHeight="1" x14ac:dyDescent="0.25">
      <c r="A151" s="16" t="s">
        <v>103</v>
      </c>
      <c r="B151" s="16" t="s">
        <v>112</v>
      </c>
      <c r="C151" s="16" t="s">
        <v>518</v>
      </c>
      <c r="D151" s="17" t="s">
        <v>259</v>
      </c>
      <c r="E151" s="158" t="s">
        <v>446</v>
      </c>
      <c r="F151" s="158" t="s">
        <v>497</v>
      </c>
      <c r="G151" s="19"/>
      <c r="H151" s="20">
        <v>1</v>
      </c>
      <c r="I151" s="21">
        <v>6</v>
      </c>
      <c r="J151" s="21">
        <v>0</v>
      </c>
      <c r="K151" s="21">
        <v>0</v>
      </c>
      <c r="L151" s="21">
        <v>0</v>
      </c>
      <c r="M151" s="21">
        <v>0</v>
      </c>
      <c r="N151" s="21">
        <v>0</v>
      </c>
      <c r="O151" s="21">
        <v>0</v>
      </c>
      <c r="P151" s="21">
        <v>0</v>
      </c>
      <c r="Q151" s="21">
        <v>0</v>
      </c>
      <c r="R151" s="21">
        <v>0</v>
      </c>
      <c r="S151" s="21">
        <v>0</v>
      </c>
      <c r="T151" s="21">
        <v>0</v>
      </c>
      <c r="U151" s="21">
        <v>0</v>
      </c>
      <c r="V151" s="21">
        <v>0</v>
      </c>
      <c r="W151" s="21">
        <v>0</v>
      </c>
      <c r="X151" s="21">
        <v>0</v>
      </c>
      <c r="Y151" s="21">
        <v>0</v>
      </c>
      <c r="Z151" s="21">
        <v>0</v>
      </c>
      <c r="AA151" s="21">
        <v>0</v>
      </c>
      <c r="AB151" s="21">
        <v>0</v>
      </c>
      <c r="AC151" s="21">
        <v>0</v>
      </c>
      <c r="AD151" s="21">
        <v>0</v>
      </c>
      <c r="AE151" s="21">
        <v>0</v>
      </c>
      <c r="AF151" s="21">
        <v>0</v>
      </c>
      <c r="AG151" s="21">
        <v>0</v>
      </c>
      <c r="AH151" s="21">
        <v>0</v>
      </c>
      <c r="AI151" s="21">
        <v>0</v>
      </c>
      <c r="AJ151" s="21">
        <v>0</v>
      </c>
      <c r="AK151" s="21">
        <v>0</v>
      </c>
      <c r="AL151" s="21">
        <v>0</v>
      </c>
      <c r="AM151" s="21">
        <v>0</v>
      </c>
      <c r="AN151" s="21">
        <v>0</v>
      </c>
      <c r="AO151" s="21">
        <v>0</v>
      </c>
      <c r="AP151" s="21">
        <v>0</v>
      </c>
      <c r="AQ151" s="21">
        <v>0</v>
      </c>
      <c r="AR151" s="21">
        <v>0</v>
      </c>
      <c r="AS151" s="21">
        <v>0</v>
      </c>
      <c r="AT151" s="21">
        <v>0</v>
      </c>
      <c r="AU151" s="21">
        <v>0</v>
      </c>
      <c r="AV151" s="21">
        <v>0</v>
      </c>
      <c r="AW151" s="21">
        <v>0</v>
      </c>
      <c r="AX151" s="21">
        <v>0</v>
      </c>
      <c r="AY151" s="21">
        <v>0</v>
      </c>
      <c r="AZ151" s="22">
        <v>0</v>
      </c>
      <c r="BA151" s="22" t="e">
        <f>MAX(#REF!-AZ151,0)</f>
        <v>#REF!</v>
      </c>
      <c r="BB151" s="23" t="e">
        <f>IF(SUMPRODUCT($J$85:BA$85,$J151:BA151)&lt;0.5, "Pending", IF(BA151&lt;0.5, "Complete", "In Progress"))</f>
        <v>#REF!</v>
      </c>
      <c r="BC151" s="22">
        <v>0</v>
      </c>
      <c r="BD151" s="22" t="e">
        <f t="shared" si="18"/>
        <v>#REF!</v>
      </c>
      <c r="BE151" s="23" t="e">
        <f>IF(SUMPRODUCT($J$85:BD$85,$J151:BD151)&lt;0.5, "Pending", IF(BD151&lt;0.5, "Complete", "In Progress"))</f>
        <v>#REF!</v>
      </c>
      <c r="BF151" s="22">
        <v>0</v>
      </c>
      <c r="BG151" s="22" t="e">
        <f t="shared" si="19"/>
        <v>#REF!</v>
      </c>
      <c r="BH151" s="23" t="e">
        <f>IF(SUMPRODUCT($J$85:BG$85,$J151:BG151)&lt;0.5, "Pending", IF(BG151&lt;0.5, "Complete", "In Progress"))</f>
        <v>#REF!</v>
      </c>
      <c r="BI151" s="22">
        <v>0</v>
      </c>
      <c r="BJ151" s="22" t="e">
        <f t="shared" si="20"/>
        <v>#REF!</v>
      </c>
      <c r="BK151" s="23" t="e">
        <f>IF(SUMPRODUCT($J$85:BJ$85,$J151:BJ151)&lt;0.5, "Pending", IF(BJ151&lt;0.5, "Complete", "In Progress"))</f>
        <v>#REF!</v>
      </c>
      <c r="BL151" s="22">
        <v>0</v>
      </c>
      <c r="BM151" s="22" t="e">
        <f t="shared" si="21"/>
        <v>#REF!</v>
      </c>
      <c r="BN151" s="23" t="e">
        <f>IF(SUMPRODUCT($J$85:BM$85,$J151:BM151)&lt;0.5, "Pending", IF(BM151&lt;0.5, "Complete", "In Progress"))</f>
        <v>#REF!</v>
      </c>
      <c r="BO151" s="22">
        <v>0</v>
      </c>
      <c r="BP151" s="22" t="e">
        <f t="shared" si="22"/>
        <v>#REF!</v>
      </c>
      <c r="BQ151" s="23" t="e">
        <f>IF(SUMPRODUCT($J$85:BP$85,$J151:BP151)&lt;0.5, "Pending", IF(BP151&lt;0.5, "Complete", "In Progress"))</f>
        <v>#REF!</v>
      </c>
      <c r="BR151" s="22">
        <v>0</v>
      </c>
      <c r="BS151" s="22" t="e">
        <f t="shared" si="23"/>
        <v>#REF!</v>
      </c>
      <c r="BT151" s="23" t="e">
        <f>IF(SUMPRODUCT($J$85:BS$85,$J151:BS151)&lt;0.5, "Pending", IF(BS151&lt;0.5, "Complete", "In Progress"))</f>
        <v>#REF!</v>
      </c>
      <c r="BU151" s="22">
        <v>0</v>
      </c>
      <c r="BV151" s="22" t="e">
        <f t="shared" si="24"/>
        <v>#REF!</v>
      </c>
      <c r="BW151" s="23" t="e">
        <f>IF(SUMPRODUCT($J$85:BV$85,$J151:BV151)&lt;0.5, "Pending", IF(BV151&lt;0.5, "Complete", "In Progress"))</f>
        <v>#REF!</v>
      </c>
      <c r="BX151" s="22">
        <v>0</v>
      </c>
      <c r="BY151" s="22" t="e">
        <f t="shared" si="25"/>
        <v>#REF!</v>
      </c>
      <c r="BZ151" s="23" t="e">
        <f>IF(SUMPRODUCT($J$85:BY$85,$J151:BY151)&lt;0.5, "Pending", IF(BY151&lt;0.5, "Complete", "In Progress"))</f>
        <v>#REF!</v>
      </c>
      <c r="CA151" s="22">
        <v>0</v>
      </c>
      <c r="CB151" s="22" t="e">
        <f t="shared" si="26"/>
        <v>#REF!</v>
      </c>
      <c r="CC151" s="23" t="e">
        <f>IF(SUMPRODUCT($J$85:CB$85,$J151:CB151)&lt;0.5, "Pending", IF(CB151&lt;0.5, "Complete", "In Progress"))</f>
        <v>#REF!</v>
      </c>
      <c r="CD151" s="24"/>
      <c r="CE151" s="25">
        <f>SUMPRODUCT($H$85:AY$85,$H151:AY151)</f>
        <v>43</v>
      </c>
    </row>
    <row r="152" spans="1:83" ht="13.8" customHeight="1" x14ac:dyDescent="0.25">
      <c r="A152" s="16" t="s">
        <v>104</v>
      </c>
      <c r="B152" s="16" t="s">
        <v>121</v>
      </c>
      <c r="C152" s="16" t="s">
        <v>518</v>
      </c>
      <c r="D152" s="17" t="s">
        <v>260</v>
      </c>
      <c r="E152" s="158" t="s">
        <v>447</v>
      </c>
      <c r="F152" s="158" t="s">
        <v>498</v>
      </c>
      <c r="G152" s="19"/>
      <c r="H152" s="20">
        <v>1</v>
      </c>
      <c r="I152" s="21">
        <v>6</v>
      </c>
      <c r="J152" s="21">
        <v>0</v>
      </c>
      <c r="K152" s="21">
        <v>0</v>
      </c>
      <c r="L152" s="21">
        <v>0</v>
      </c>
      <c r="M152" s="21">
        <v>0</v>
      </c>
      <c r="N152" s="21">
        <v>0</v>
      </c>
      <c r="O152" s="21">
        <v>0</v>
      </c>
      <c r="P152" s="21">
        <v>0</v>
      </c>
      <c r="Q152" s="21">
        <v>0</v>
      </c>
      <c r="R152" s="21">
        <v>0</v>
      </c>
      <c r="S152" s="21">
        <v>0</v>
      </c>
      <c r="T152" s="21">
        <v>0</v>
      </c>
      <c r="U152" s="21">
        <v>0</v>
      </c>
      <c r="V152" s="21">
        <v>0</v>
      </c>
      <c r="W152" s="21">
        <v>0</v>
      </c>
      <c r="X152" s="21">
        <v>0</v>
      </c>
      <c r="Y152" s="21">
        <v>0</v>
      </c>
      <c r="Z152" s="21">
        <v>0</v>
      </c>
      <c r="AA152" s="21">
        <v>0</v>
      </c>
      <c r="AB152" s="21">
        <v>0</v>
      </c>
      <c r="AC152" s="21">
        <v>0</v>
      </c>
      <c r="AD152" s="21">
        <v>0</v>
      </c>
      <c r="AE152" s="21">
        <v>0</v>
      </c>
      <c r="AF152" s="21">
        <v>0</v>
      </c>
      <c r="AG152" s="21">
        <v>0</v>
      </c>
      <c r="AH152" s="21">
        <v>0</v>
      </c>
      <c r="AI152" s="21">
        <v>0</v>
      </c>
      <c r="AJ152" s="21">
        <v>0</v>
      </c>
      <c r="AK152" s="21">
        <v>0</v>
      </c>
      <c r="AL152" s="21">
        <v>0</v>
      </c>
      <c r="AM152" s="21">
        <v>0</v>
      </c>
      <c r="AN152" s="21">
        <v>0</v>
      </c>
      <c r="AO152" s="21">
        <v>0</v>
      </c>
      <c r="AP152" s="21">
        <v>0</v>
      </c>
      <c r="AQ152" s="21">
        <v>0</v>
      </c>
      <c r="AR152" s="21">
        <v>0</v>
      </c>
      <c r="AS152" s="21">
        <v>0</v>
      </c>
      <c r="AT152" s="21">
        <v>0</v>
      </c>
      <c r="AU152" s="21">
        <v>0</v>
      </c>
      <c r="AV152" s="21">
        <v>0</v>
      </c>
      <c r="AW152" s="21">
        <v>0</v>
      </c>
      <c r="AX152" s="21">
        <v>0</v>
      </c>
      <c r="AY152" s="21">
        <v>0</v>
      </c>
      <c r="AZ152" s="22">
        <v>0</v>
      </c>
      <c r="BA152" s="22" t="e">
        <f>MAX(#REF!-AZ152,0)</f>
        <v>#REF!</v>
      </c>
      <c r="BB152" s="23" t="e">
        <f>IF(SUMPRODUCT($J$85:BA$85,$J152:BA152)&lt;0.5, "Pending", IF(BA152&lt;0.5, "Complete", "In Progress"))</f>
        <v>#REF!</v>
      </c>
      <c r="BC152" s="22">
        <v>0</v>
      </c>
      <c r="BD152" s="22" t="e">
        <f t="shared" si="18"/>
        <v>#REF!</v>
      </c>
      <c r="BE152" s="23" t="e">
        <f>IF(SUMPRODUCT($J$85:BD$85,$J152:BD152)&lt;0.5, "Pending", IF(BD152&lt;0.5, "Complete", "In Progress"))</f>
        <v>#REF!</v>
      </c>
      <c r="BF152" s="22">
        <v>0</v>
      </c>
      <c r="BG152" s="22" t="e">
        <f t="shared" si="19"/>
        <v>#REF!</v>
      </c>
      <c r="BH152" s="23" t="e">
        <f>IF(SUMPRODUCT($J$85:BG$85,$J152:BG152)&lt;0.5, "Pending", IF(BG152&lt;0.5, "Complete", "In Progress"))</f>
        <v>#REF!</v>
      </c>
      <c r="BI152" s="22">
        <v>0</v>
      </c>
      <c r="BJ152" s="22" t="e">
        <f t="shared" si="20"/>
        <v>#REF!</v>
      </c>
      <c r="BK152" s="23" t="e">
        <f>IF(SUMPRODUCT($J$85:BJ$85,$J152:BJ152)&lt;0.5, "Pending", IF(BJ152&lt;0.5, "Complete", "In Progress"))</f>
        <v>#REF!</v>
      </c>
      <c r="BL152" s="22">
        <v>0</v>
      </c>
      <c r="BM152" s="22" t="e">
        <f t="shared" si="21"/>
        <v>#REF!</v>
      </c>
      <c r="BN152" s="23" t="e">
        <f>IF(SUMPRODUCT($J$85:BM$85,$J152:BM152)&lt;0.5, "Pending", IF(BM152&lt;0.5, "Complete", "In Progress"))</f>
        <v>#REF!</v>
      </c>
      <c r="BO152" s="22">
        <v>0</v>
      </c>
      <c r="BP152" s="22" t="e">
        <f t="shared" si="22"/>
        <v>#REF!</v>
      </c>
      <c r="BQ152" s="23" t="e">
        <f>IF(SUMPRODUCT($J$85:BP$85,$J152:BP152)&lt;0.5, "Pending", IF(BP152&lt;0.5, "Complete", "In Progress"))</f>
        <v>#REF!</v>
      </c>
      <c r="BR152" s="22">
        <v>0</v>
      </c>
      <c r="BS152" s="22" t="e">
        <f t="shared" si="23"/>
        <v>#REF!</v>
      </c>
      <c r="BT152" s="23" t="e">
        <f>IF(SUMPRODUCT($J$85:BS$85,$J152:BS152)&lt;0.5, "Pending", IF(BS152&lt;0.5, "Complete", "In Progress"))</f>
        <v>#REF!</v>
      </c>
      <c r="BU152" s="22">
        <v>0</v>
      </c>
      <c r="BV152" s="22" t="e">
        <f t="shared" si="24"/>
        <v>#REF!</v>
      </c>
      <c r="BW152" s="23" t="e">
        <f>IF(SUMPRODUCT($J$85:BV$85,$J152:BV152)&lt;0.5, "Pending", IF(BV152&lt;0.5, "Complete", "In Progress"))</f>
        <v>#REF!</v>
      </c>
      <c r="BX152" s="22">
        <v>0</v>
      </c>
      <c r="BY152" s="22" t="e">
        <f t="shared" si="25"/>
        <v>#REF!</v>
      </c>
      <c r="BZ152" s="23" t="e">
        <f>IF(SUMPRODUCT($J$85:BY$85,$J152:BY152)&lt;0.5, "Pending", IF(BY152&lt;0.5, "Complete", "In Progress"))</f>
        <v>#REF!</v>
      </c>
      <c r="CA152" s="22">
        <v>0</v>
      </c>
      <c r="CB152" s="22" t="e">
        <f t="shared" si="26"/>
        <v>#REF!</v>
      </c>
      <c r="CC152" s="23" t="e">
        <f>IF(SUMPRODUCT($J$85:CB$85,$J152:CB152)&lt;0.5, "Pending", IF(CB152&lt;0.5, "Complete", "In Progress"))</f>
        <v>#REF!</v>
      </c>
      <c r="CD152" s="24"/>
      <c r="CE152" s="25">
        <f>SUMPRODUCT($H$85:AY$85,$H152:AY152)</f>
        <v>43</v>
      </c>
    </row>
    <row r="153" spans="1:83" ht="13.8" customHeight="1" x14ac:dyDescent="0.25">
      <c r="A153" s="16" t="s">
        <v>104</v>
      </c>
      <c r="B153" s="16" t="s">
        <v>112</v>
      </c>
      <c r="C153" s="16" t="s">
        <v>518</v>
      </c>
      <c r="D153" s="17" t="s">
        <v>261</v>
      </c>
      <c r="E153" s="158" t="s">
        <v>448</v>
      </c>
      <c r="F153" s="158" t="s">
        <v>496</v>
      </c>
      <c r="G153" s="19"/>
      <c r="H153" s="20">
        <v>1</v>
      </c>
      <c r="I153" s="21">
        <v>6</v>
      </c>
      <c r="J153" s="21">
        <v>0</v>
      </c>
      <c r="K153" s="21">
        <v>0</v>
      </c>
      <c r="L153" s="21">
        <v>0</v>
      </c>
      <c r="M153" s="21">
        <v>0</v>
      </c>
      <c r="N153" s="21">
        <v>0</v>
      </c>
      <c r="O153" s="21">
        <v>0</v>
      </c>
      <c r="P153" s="21">
        <v>0</v>
      </c>
      <c r="Q153" s="21">
        <v>0</v>
      </c>
      <c r="R153" s="21">
        <v>0</v>
      </c>
      <c r="S153" s="21">
        <v>0</v>
      </c>
      <c r="T153" s="21">
        <v>0</v>
      </c>
      <c r="U153" s="21">
        <v>0</v>
      </c>
      <c r="V153" s="21">
        <v>0</v>
      </c>
      <c r="W153" s="21">
        <v>0</v>
      </c>
      <c r="X153" s="21">
        <v>0</v>
      </c>
      <c r="Y153" s="21">
        <v>0</v>
      </c>
      <c r="Z153" s="21">
        <v>0</v>
      </c>
      <c r="AA153" s="21">
        <v>0</v>
      </c>
      <c r="AB153" s="21">
        <v>0</v>
      </c>
      <c r="AC153" s="21">
        <v>0</v>
      </c>
      <c r="AD153" s="21">
        <v>0</v>
      </c>
      <c r="AE153" s="21">
        <v>0</v>
      </c>
      <c r="AF153" s="21">
        <v>0</v>
      </c>
      <c r="AG153" s="21">
        <v>0</v>
      </c>
      <c r="AH153" s="21">
        <v>0</v>
      </c>
      <c r="AI153" s="21">
        <v>0</v>
      </c>
      <c r="AJ153" s="21">
        <v>0</v>
      </c>
      <c r="AK153" s="21">
        <v>0</v>
      </c>
      <c r="AL153" s="21">
        <v>0</v>
      </c>
      <c r="AM153" s="21">
        <v>0</v>
      </c>
      <c r="AN153" s="21">
        <v>0</v>
      </c>
      <c r="AO153" s="21">
        <v>0</v>
      </c>
      <c r="AP153" s="21">
        <v>0</v>
      </c>
      <c r="AQ153" s="21">
        <v>0</v>
      </c>
      <c r="AR153" s="21">
        <v>0</v>
      </c>
      <c r="AS153" s="21">
        <v>0</v>
      </c>
      <c r="AT153" s="21">
        <v>0</v>
      </c>
      <c r="AU153" s="21">
        <v>0</v>
      </c>
      <c r="AV153" s="21">
        <v>0</v>
      </c>
      <c r="AW153" s="21">
        <v>0</v>
      </c>
      <c r="AX153" s="21">
        <v>0</v>
      </c>
      <c r="AY153" s="21">
        <v>0</v>
      </c>
      <c r="AZ153" s="22">
        <v>0</v>
      </c>
      <c r="BA153" s="22" t="e">
        <f>MAX(#REF!-AZ153,0)</f>
        <v>#REF!</v>
      </c>
      <c r="BB153" s="23" t="e">
        <f>IF(SUMPRODUCT($J$85:BA$85,$J153:BA153)&lt;0.5, "Pending", IF(BA153&lt;0.5, "Complete", "In Progress"))</f>
        <v>#REF!</v>
      </c>
      <c r="BC153" s="22">
        <v>0</v>
      </c>
      <c r="BD153" s="22" t="e">
        <f t="shared" si="18"/>
        <v>#REF!</v>
      </c>
      <c r="BE153" s="23" t="e">
        <f>IF(SUMPRODUCT($J$85:BD$85,$J153:BD153)&lt;0.5, "Pending", IF(BD153&lt;0.5, "Complete", "In Progress"))</f>
        <v>#REF!</v>
      </c>
      <c r="BF153" s="22">
        <v>0</v>
      </c>
      <c r="BG153" s="22" t="e">
        <f t="shared" si="19"/>
        <v>#REF!</v>
      </c>
      <c r="BH153" s="23" t="e">
        <f>IF(SUMPRODUCT($J$85:BG$85,$J153:BG153)&lt;0.5, "Pending", IF(BG153&lt;0.5, "Complete", "In Progress"))</f>
        <v>#REF!</v>
      </c>
      <c r="BI153" s="22">
        <v>0</v>
      </c>
      <c r="BJ153" s="22" t="e">
        <f t="shared" si="20"/>
        <v>#REF!</v>
      </c>
      <c r="BK153" s="23" t="e">
        <f>IF(SUMPRODUCT($J$85:BJ$85,$J153:BJ153)&lt;0.5, "Pending", IF(BJ153&lt;0.5, "Complete", "In Progress"))</f>
        <v>#REF!</v>
      </c>
      <c r="BL153" s="22">
        <v>0</v>
      </c>
      <c r="BM153" s="22" t="e">
        <f t="shared" si="21"/>
        <v>#REF!</v>
      </c>
      <c r="BN153" s="23" t="e">
        <f>IF(SUMPRODUCT($J$85:BM$85,$J153:BM153)&lt;0.5, "Pending", IF(BM153&lt;0.5, "Complete", "In Progress"))</f>
        <v>#REF!</v>
      </c>
      <c r="BO153" s="22">
        <v>0</v>
      </c>
      <c r="BP153" s="22" t="e">
        <f t="shared" si="22"/>
        <v>#REF!</v>
      </c>
      <c r="BQ153" s="23" t="e">
        <f>IF(SUMPRODUCT($J$85:BP$85,$J153:BP153)&lt;0.5, "Pending", IF(BP153&lt;0.5, "Complete", "In Progress"))</f>
        <v>#REF!</v>
      </c>
      <c r="BR153" s="22">
        <v>0</v>
      </c>
      <c r="BS153" s="22" t="e">
        <f t="shared" si="23"/>
        <v>#REF!</v>
      </c>
      <c r="BT153" s="23" t="e">
        <f>IF(SUMPRODUCT($J$85:BS$85,$J153:BS153)&lt;0.5, "Pending", IF(BS153&lt;0.5, "Complete", "In Progress"))</f>
        <v>#REF!</v>
      </c>
      <c r="BU153" s="22">
        <v>0</v>
      </c>
      <c r="BV153" s="22" t="e">
        <f t="shared" si="24"/>
        <v>#REF!</v>
      </c>
      <c r="BW153" s="23" t="e">
        <f>IF(SUMPRODUCT($J$85:BV$85,$J153:BV153)&lt;0.5, "Pending", IF(BV153&lt;0.5, "Complete", "In Progress"))</f>
        <v>#REF!</v>
      </c>
      <c r="BX153" s="22">
        <v>0</v>
      </c>
      <c r="BY153" s="22" t="e">
        <f t="shared" si="25"/>
        <v>#REF!</v>
      </c>
      <c r="BZ153" s="23" t="e">
        <f>IF(SUMPRODUCT($J$85:BY$85,$J153:BY153)&lt;0.5, "Pending", IF(BY153&lt;0.5, "Complete", "In Progress"))</f>
        <v>#REF!</v>
      </c>
      <c r="CA153" s="22">
        <v>0</v>
      </c>
      <c r="CB153" s="22" t="e">
        <f t="shared" si="26"/>
        <v>#REF!</v>
      </c>
      <c r="CC153" s="23" t="e">
        <f>IF(SUMPRODUCT($J$85:CB$85,$J153:CB153)&lt;0.5, "Pending", IF(CB153&lt;0.5, "Complete", "In Progress"))</f>
        <v>#REF!</v>
      </c>
      <c r="CD153" s="24"/>
      <c r="CE153" s="25">
        <f>SUMPRODUCT($H$85:AY$85,$H153:AY153)</f>
        <v>43</v>
      </c>
    </row>
    <row r="154" spans="1:83" ht="13.8" customHeight="1" x14ac:dyDescent="0.25">
      <c r="A154" s="16" t="s">
        <v>103</v>
      </c>
      <c r="B154" s="16" t="s">
        <v>110</v>
      </c>
      <c r="C154" s="16" t="s">
        <v>519</v>
      </c>
      <c r="D154" s="17">
        <v>10</v>
      </c>
      <c r="E154" s="158" t="s">
        <v>449</v>
      </c>
      <c r="F154" s="158" t="s">
        <v>495</v>
      </c>
      <c r="G154" s="169"/>
      <c r="H154" s="20">
        <v>1</v>
      </c>
      <c r="I154" s="21">
        <v>6</v>
      </c>
      <c r="J154" s="21">
        <v>0</v>
      </c>
      <c r="K154" s="21">
        <v>0</v>
      </c>
      <c r="L154" s="21">
        <v>0</v>
      </c>
      <c r="M154" s="21">
        <v>0</v>
      </c>
      <c r="N154" s="21">
        <v>0</v>
      </c>
      <c r="O154" s="21">
        <v>0</v>
      </c>
      <c r="P154" s="21">
        <v>0</v>
      </c>
      <c r="Q154" s="21">
        <v>0</v>
      </c>
      <c r="R154" s="21">
        <v>0</v>
      </c>
      <c r="S154" s="21">
        <v>0</v>
      </c>
      <c r="T154" s="21">
        <v>0</v>
      </c>
      <c r="U154" s="21">
        <v>0</v>
      </c>
      <c r="V154" s="21">
        <v>0</v>
      </c>
      <c r="W154" s="21">
        <v>0</v>
      </c>
      <c r="X154" s="21">
        <v>0</v>
      </c>
      <c r="Y154" s="21">
        <v>0</v>
      </c>
      <c r="Z154" s="21">
        <v>0</v>
      </c>
      <c r="AA154" s="21">
        <v>0</v>
      </c>
      <c r="AB154" s="21">
        <v>0</v>
      </c>
      <c r="AC154" s="21">
        <v>0</v>
      </c>
      <c r="AD154" s="21">
        <v>0</v>
      </c>
      <c r="AE154" s="21">
        <v>0</v>
      </c>
      <c r="AF154" s="21">
        <v>0</v>
      </c>
      <c r="AG154" s="21">
        <v>0</v>
      </c>
      <c r="AH154" s="21">
        <v>0</v>
      </c>
      <c r="AI154" s="21">
        <v>0</v>
      </c>
      <c r="AJ154" s="21">
        <v>0</v>
      </c>
      <c r="AK154" s="21">
        <v>0</v>
      </c>
      <c r="AL154" s="21">
        <v>0</v>
      </c>
      <c r="AM154" s="21">
        <v>0</v>
      </c>
      <c r="AN154" s="21">
        <v>0</v>
      </c>
      <c r="AO154" s="21">
        <v>0</v>
      </c>
      <c r="AP154" s="21">
        <v>0</v>
      </c>
      <c r="AQ154" s="21">
        <v>0</v>
      </c>
      <c r="AR154" s="21">
        <v>0</v>
      </c>
      <c r="AS154" s="21">
        <v>0</v>
      </c>
      <c r="AT154" s="21">
        <v>0</v>
      </c>
      <c r="AU154" s="21">
        <v>0</v>
      </c>
      <c r="AV154" s="21">
        <v>0</v>
      </c>
      <c r="AW154" s="21">
        <v>0</v>
      </c>
      <c r="AX154" s="21">
        <v>0</v>
      </c>
      <c r="AY154" s="21">
        <v>0</v>
      </c>
      <c r="AZ154" s="22">
        <v>0</v>
      </c>
      <c r="BA154" s="22" t="e">
        <f>MAX(#REF!-AZ154,0)</f>
        <v>#REF!</v>
      </c>
      <c r="BB154" s="23" t="e">
        <f>IF(SUMPRODUCT($J$85:BA$85,$J154:BA154)&lt;0.5, "Pending", IF(BA154&lt;0.5, "Complete", "In Progress"))</f>
        <v>#REF!</v>
      </c>
      <c r="BC154" s="22">
        <v>0</v>
      </c>
      <c r="BD154" s="22" t="e">
        <f t="shared" si="18"/>
        <v>#REF!</v>
      </c>
      <c r="BE154" s="23" t="e">
        <f>IF(SUMPRODUCT($J$85:BD$85,$J154:BD154)&lt;0.5, "Pending", IF(BD154&lt;0.5, "Complete", "In Progress"))</f>
        <v>#REF!</v>
      </c>
      <c r="BF154" s="22">
        <v>0</v>
      </c>
      <c r="BG154" s="22" t="e">
        <f t="shared" si="19"/>
        <v>#REF!</v>
      </c>
      <c r="BH154" s="23" t="e">
        <f>IF(SUMPRODUCT($J$85:BG$85,$J154:BG154)&lt;0.5, "Pending", IF(BG154&lt;0.5, "Complete", "In Progress"))</f>
        <v>#REF!</v>
      </c>
      <c r="BI154" s="22">
        <v>0</v>
      </c>
      <c r="BJ154" s="22" t="e">
        <f t="shared" si="20"/>
        <v>#REF!</v>
      </c>
      <c r="BK154" s="23" t="e">
        <f>IF(SUMPRODUCT($J$85:BJ$85,$J154:BJ154)&lt;0.5, "Pending", IF(BJ154&lt;0.5, "Complete", "In Progress"))</f>
        <v>#REF!</v>
      </c>
      <c r="BL154" s="22">
        <v>0</v>
      </c>
      <c r="BM154" s="22" t="e">
        <f t="shared" si="21"/>
        <v>#REF!</v>
      </c>
      <c r="BN154" s="23" t="e">
        <f>IF(SUMPRODUCT($J$85:BM$85,$J154:BM154)&lt;0.5, "Pending", IF(BM154&lt;0.5, "Complete", "In Progress"))</f>
        <v>#REF!</v>
      </c>
      <c r="BO154" s="22">
        <v>0</v>
      </c>
      <c r="BP154" s="22" t="e">
        <f t="shared" si="22"/>
        <v>#REF!</v>
      </c>
      <c r="BQ154" s="23" t="e">
        <f>IF(SUMPRODUCT($J$85:BP$85,$J154:BP154)&lt;0.5, "Pending", IF(BP154&lt;0.5, "Complete", "In Progress"))</f>
        <v>#REF!</v>
      </c>
      <c r="BR154" s="22">
        <v>0</v>
      </c>
      <c r="BS154" s="22" t="e">
        <f t="shared" si="23"/>
        <v>#REF!</v>
      </c>
      <c r="BT154" s="23" t="e">
        <f>IF(SUMPRODUCT($J$85:BS$85,$J154:BS154)&lt;0.5, "Pending", IF(BS154&lt;0.5, "Complete", "In Progress"))</f>
        <v>#REF!</v>
      </c>
      <c r="BU154" s="22">
        <v>0</v>
      </c>
      <c r="BV154" s="22" t="e">
        <f t="shared" si="24"/>
        <v>#REF!</v>
      </c>
      <c r="BW154" s="23" t="e">
        <f>IF(SUMPRODUCT($J$85:BV$85,$J154:BV154)&lt;0.5, "Pending", IF(BV154&lt;0.5, "Complete", "In Progress"))</f>
        <v>#REF!</v>
      </c>
      <c r="BX154" s="22">
        <v>0</v>
      </c>
      <c r="BY154" s="22" t="e">
        <f t="shared" si="25"/>
        <v>#REF!</v>
      </c>
      <c r="BZ154" s="23" t="e">
        <f>IF(SUMPRODUCT($J$85:BY$85,$J154:BY154)&lt;0.5, "Pending", IF(BY154&lt;0.5, "Complete", "In Progress"))</f>
        <v>#REF!</v>
      </c>
      <c r="CA154" s="22">
        <v>0</v>
      </c>
      <c r="CB154" s="22" t="e">
        <f t="shared" si="26"/>
        <v>#REF!</v>
      </c>
      <c r="CC154" s="23" t="e">
        <f>IF(SUMPRODUCT($J$85:CB$85,$J154:CB154)&lt;0.5, "Pending", IF(CB154&lt;0.5, "Complete", "In Progress"))</f>
        <v>#REF!</v>
      </c>
      <c r="CD154" s="24"/>
      <c r="CE154" s="25">
        <f>SUMPRODUCT($H$85:AY$85,$H154:AY154)</f>
        <v>43</v>
      </c>
    </row>
    <row r="155" spans="1:83" ht="13.8" customHeight="1" x14ac:dyDescent="0.25">
      <c r="A155" s="16" t="s">
        <v>103</v>
      </c>
      <c r="B155" s="16" t="s">
        <v>110</v>
      </c>
      <c r="C155" s="16" t="s">
        <v>519</v>
      </c>
      <c r="D155" s="17">
        <v>10.1</v>
      </c>
      <c r="E155" s="158" t="s">
        <v>450</v>
      </c>
      <c r="F155" s="158" t="s">
        <v>493</v>
      </c>
      <c r="G155" s="168"/>
      <c r="H155" s="20">
        <v>1</v>
      </c>
      <c r="I155" s="21">
        <v>56</v>
      </c>
      <c r="J155" s="21">
        <v>0</v>
      </c>
      <c r="K155" s="21">
        <v>0</v>
      </c>
      <c r="L155" s="21">
        <v>0</v>
      </c>
      <c r="M155" s="21">
        <v>0</v>
      </c>
      <c r="N155" s="21">
        <v>0</v>
      </c>
      <c r="O155" s="21">
        <v>0</v>
      </c>
      <c r="P155" s="21">
        <v>0</v>
      </c>
      <c r="Q155" s="21">
        <v>0</v>
      </c>
      <c r="R155" s="21">
        <v>0</v>
      </c>
      <c r="S155" s="21">
        <v>0</v>
      </c>
      <c r="T155" s="21">
        <v>0</v>
      </c>
      <c r="U155" s="21">
        <v>0</v>
      </c>
      <c r="V155" s="21">
        <v>0</v>
      </c>
      <c r="W155" s="21">
        <v>0</v>
      </c>
      <c r="X155" s="21">
        <v>0</v>
      </c>
      <c r="Y155" s="21">
        <v>0</v>
      </c>
      <c r="Z155" s="21">
        <v>0</v>
      </c>
      <c r="AA155" s="21">
        <v>0</v>
      </c>
      <c r="AB155" s="21">
        <v>0</v>
      </c>
      <c r="AC155" s="21">
        <v>0</v>
      </c>
      <c r="AD155" s="21">
        <v>0</v>
      </c>
      <c r="AE155" s="21">
        <v>0</v>
      </c>
      <c r="AF155" s="21">
        <v>0</v>
      </c>
      <c r="AG155" s="21">
        <v>0</v>
      </c>
      <c r="AH155" s="21">
        <v>0</v>
      </c>
      <c r="AI155" s="21">
        <v>0</v>
      </c>
      <c r="AJ155" s="21">
        <v>0</v>
      </c>
      <c r="AK155" s="21">
        <v>0</v>
      </c>
      <c r="AL155" s="21">
        <v>0</v>
      </c>
      <c r="AM155" s="21">
        <v>0</v>
      </c>
      <c r="AN155" s="21">
        <v>0</v>
      </c>
      <c r="AO155" s="21">
        <v>0</v>
      </c>
      <c r="AP155" s="21">
        <v>0</v>
      </c>
      <c r="AQ155" s="21">
        <v>0</v>
      </c>
      <c r="AR155" s="21">
        <v>0</v>
      </c>
      <c r="AS155" s="21">
        <v>0</v>
      </c>
      <c r="AT155" s="21">
        <v>0</v>
      </c>
      <c r="AU155" s="21">
        <v>0</v>
      </c>
      <c r="AV155" s="21">
        <v>0</v>
      </c>
      <c r="AW155" s="21">
        <v>0</v>
      </c>
      <c r="AX155" s="21">
        <v>0</v>
      </c>
      <c r="AY155" s="21">
        <v>0</v>
      </c>
      <c r="AZ155" s="22">
        <v>0</v>
      </c>
      <c r="BA155" s="22" t="e">
        <f>MAX(#REF!-AZ155,0)</f>
        <v>#REF!</v>
      </c>
      <c r="BB155" s="23" t="e">
        <f>IF(SUMPRODUCT($J$85:BA$85,$J155:BA155)&lt;0.5, "Pending", IF(BA155&lt;0.5, "Complete", "In Progress"))</f>
        <v>#REF!</v>
      </c>
      <c r="BC155" s="22">
        <v>0</v>
      </c>
      <c r="BD155" s="22" t="e">
        <f t="shared" si="18"/>
        <v>#REF!</v>
      </c>
      <c r="BE155" s="23" t="e">
        <f>IF(SUMPRODUCT($J$85:BD$85,$J155:BD155)&lt;0.5, "Pending", IF(BD155&lt;0.5, "Complete", "In Progress"))</f>
        <v>#REF!</v>
      </c>
      <c r="BF155" s="22">
        <v>0</v>
      </c>
      <c r="BG155" s="22" t="e">
        <f t="shared" si="19"/>
        <v>#REF!</v>
      </c>
      <c r="BH155" s="23" t="e">
        <f>IF(SUMPRODUCT($J$85:BG$85,$J155:BG155)&lt;0.5, "Pending", IF(BG155&lt;0.5, "Complete", "In Progress"))</f>
        <v>#REF!</v>
      </c>
      <c r="BI155" s="22">
        <v>0</v>
      </c>
      <c r="BJ155" s="22" t="e">
        <f t="shared" si="20"/>
        <v>#REF!</v>
      </c>
      <c r="BK155" s="23" t="e">
        <f>IF(SUMPRODUCT($J$85:BJ$85,$J155:BJ155)&lt;0.5, "Pending", IF(BJ155&lt;0.5, "Complete", "In Progress"))</f>
        <v>#REF!</v>
      </c>
      <c r="BL155" s="22">
        <v>0</v>
      </c>
      <c r="BM155" s="22" t="e">
        <f t="shared" si="21"/>
        <v>#REF!</v>
      </c>
      <c r="BN155" s="23" t="e">
        <f>IF(SUMPRODUCT($J$85:BM$85,$J155:BM155)&lt;0.5, "Pending", IF(BM155&lt;0.5, "Complete", "In Progress"))</f>
        <v>#REF!</v>
      </c>
      <c r="BO155" s="22">
        <v>0</v>
      </c>
      <c r="BP155" s="22" t="e">
        <f t="shared" si="22"/>
        <v>#REF!</v>
      </c>
      <c r="BQ155" s="23" t="e">
        <f>IF(SUMPRODUCT($J$85:BP$85,$J155:BP155)&lt;0.5, "Pending", IF(BP155&lt;0.5, "Complete", "In Progress"))</f>
        <v>#REF!</v>
      </c>
      <c r="BR155" s="22">
        <v>0</v>
      </c>
      <c r="BS155" s="22" t="e">
        <f t="shared" si="23"/>
        <v>#REF!</v>
      </c>
      <c r="BT155" s="23" t="e">
        <f>IF(SUMPRODUCT($J$85:BS$85,$J155:BS155)&lt;0.5, "Pending", IF(BS155&lt;0.5, "Complete", "In Progress"))</f>
        <v>#REF!</v>
      </c>
      <c r="BU155" s="22">
        <v>0</v>
      </c>
      <c r="BV155" s="22" t="e">
        <f t="shared" si="24"/>
        <v>#REF!</v>
      </c>
      <c r="BW155" s="23" t="e">
        <f>IF(SUMPRODUCT($J$85:BV$85,$J155:BV155)&lt;0.5, "Pending", IF(BV155&lt;0.5, "Complete", "In Progress"))</f>
        <v>#REF!</v>
      </c>
      <c r="BX155" s="22">
        <v>0</v>
      </c>
      <c r="BY155" s="22" t="e">
        <f t="shared" si="25"/>
        <v>#REF!</v>
      </c>
      <c r="BZ155" s="23" t="e">
        <f>IF(SUMPRODUCT($J$85:BY$85,$J155:BY155)&lt;0.5, "Pending", IF(BY155&lt;0.5, "Complete", "In Progress"))</f>
        <v>#REF!</v>
      </c>
      <c r="CA155" s="22">
        <v>0</v>
      </c>
      <c r="CB155" s="22" t="e">
        <f t="shared" si="26"/>
        <v>#REF!</v>
      </c>
      <c r="CC155" s="23" t="e">
        <f>IF(SUMPRODUCT($J$85:CB$85,$J155:CB155)&lt;0.5, "Pending", IF(CB155&lt;0.5, "Complete", "In Progress"))</f>
        <v>#REF!</v>
      </c>
      <c r="CD155" s="24"/>
      <c r="CE155" s="25">
        <f>SUMPRODUCT($H$85:AY$85,$H155:AY155)</f>
        <v>393</v>
      </c>
    </row>
    <row r="156" spans="1:83" ht="13.8" customHeight="1" x14ac:dyDescent="0.25">
      <c r="A156" s="16" t="s">
        <v>104</v>
      </c>
      <c r="B156" s="16" t="s">
        <v>122</v>
      </c>
      <c r="C156" s="16" t="s">
        <v>520</v>
      </c>
      <c r="D156" s="17" t="s">
        <v>262</v>
      </c>
      <c r="E156" s="158" t="s">
        <v>451</v>
      </c>
      <c r="F156" s="158" t="s">
        <v>494</v>
      </c>
      <c r="G156" s="19"/>
      <c r="H156" s="20">
        <v>1</v>
      </c>
      <c r="I156" s="21">
        <v>6</v>
      </c>
      <c r="J156" s="21">
        <v>0</v>
      </c>
      <c r="K156" s="21">
        <v>0</v>
      </c>
      <c r="L156" s="21">
        <v>0</v>
      </c>
      <c r="M156" s="21">
        <v>0</v>
      </c>
      <c r="N156" s="21">
        <v>0</v>
      </c>
      <c r="O156" s="21">
        <v>0</v>
      </c>
      <c r="P156" s="21">
        <v>0</v>
      </c>
      <c r="Q156" s="21">
        <v>0</v>
      </c>
      <c r="R156" s="21">
        <v>0</v>
      </c>
      <c r="S156" s="21">
        <v>0</v>
      </c>
      <c r="T156" s="21">
        <v>0</v>
      </c>
      <c r="U156" s="21">
        <v>0</v>
      </c>
      <c r="V156" s="21">
        <v>0</v>
      </c>
      <c r="W156" s="21">
        <v>0</v>
      </c>
      <c r="X156" s="21">
        <v>0</v>
      </c>
      <c r="Y156" s="21">
        <v>0</v>
      </c>
      <c r="Z156" s="21">
        <v>0</v>
      </c>
      <c r="AA156" s="21">
        <v>0</v>
      </c>
      <c r="AB156" s="21">
        <v>0</v>
      </c>
      <c r="AC156" s="21">
        <v>0</v>
      </c>
      <c r="AD156" s="21">
        <v>0</v>
      </c>
      <c r="AE156" s="21">
        <v>0</v>
      </c>
      <c r="AF156" s="21">
        <v>0</v>
      </c>
      <c r="AG156" s="21">
        <v>0</v>
      </c>
      <c r="AH156" s="21">
        <v>0</v>
      </c>
      <c r="AI156" s="21">
        <v>0</v>
      </c>
      <c r="AJ156" s="21">
        <v>0</v>
      </c>
      <c r="AK156" s="21">
        <v>0</v>
      </c>
      <c r="AL156" s="21">
        <v>0</v>
      </c>
      <c r="AM156" s="21">
        <v>0</v>
      </c>
      <c r="AN156" s="21">
        <v>0</v>
      </c>
      <c r="AO156" s="21">
        <v>0</v>
      </c>
      <c r="AP156" s="21">
        <v>0</v>
      </c>
      <c r="AQ156" s="21">
        <v>0</v>
      </c>
      <c r="AR156" s="21">
        <v>0</v>
      </c>
      <c r="AS156" s="21">
        <v>0</v>
      </c>
      <c r="AT156" s="21">
        <v>0</v>
      </c>
      <c r="AU156" s="21">
        <v>0</v>
      </c>
      <c r="AV156" s="21">
        <v>0</v>
      </c>
      <c r="AW156" s="21">
        <v>0</v>
      </c>
      <c r="AX156" s="21">
        <v>0</v>
      </c>
      <c r="AY156" s="21">
        <v>0</v>
      </c>
      <c r="AZ156" s="22">
        <v>0</v>
      </c>
      <c r="BA156" s="22" t="e">
        <f>MAX(#REF!-AZ156,0)</f>
        <v>#REF!</v>
      </c>
      <c r="BB156" s="23" t="e">
        <f>IF(SUMPRODUCT($J$85:BA$85,$J156:BA156)&lt;0.5, "Pending", IF(BA156&lt;0.5, "Complete", "In Progress"))</f>
        <v>#REF!</v>
      </c>
      <c r="BC156" s="22">
        <v>0</v>
      </c>
      <c r="BD156" s="22" t="e">
        <f t="shared" si="18"/>
        <v>#REF!</v>
      </c>
      <c r="BE156" s="23" t="e">
        <f>IF(SUMPRODUCT($J$85:BD$85,$J156:BD156)&lt;0.5, "Pending", IF(BD156&lt;0.5, "Complete", "In Progress"))</f>
        <v>#REF!</v>
      </c>
      <c r="BF156" s="22">
        <v>0</v>
      </c>
      <c r="BG156" s="22" t="e">
        <f t="shared" si="19"/>
        <v>#REF!</v>
      </c>
      <c r="BH156" s="23" t="e">
        <f>IF(SUMPRODUCT($J$85:BG$85,$J156:BG156)&lt;0.5, "Pending", IF(BG156&lt;0.5, "Complete", "In Progress"))</f>
        <v>#REF!</v>
      </c>
      <c r="BI156" s="22">
        <v>0</v>
      </c>
      <c r="BJ156" s="22" t="e">
        <f t="shared" si="20"/>
        <v>#REF!</v>
      </c>
      <c r="BK156" s="23" t="e">
        <f>IF(SUMPRODUCT($J$85:BJ$85,$J156:BJ156)&lt;0.5, "Pending", IF(BJ156&lt;0.5, "Complete", "In Progress"))</f>
        <v>#REF!</v>
      </c>
      <c r="BL156" s="22">
        <v>0</v>
      </c>
      <c r="BM156" s="22" t="e">
        <f t="shared" si="21"/>
        <v>#REF!</v>
      </c>
      <c r="BN156" s="23" t="e">
        <f>IF(SUMPRODUCT($J$85:BM$85,$J156:BM156)&lt;0.5, "Pending", IF(BM156&lt;0.5, "Complete", "In Progress"))</f>
        <v>#REF!</v>
      </c>
      <c r="BO156" s="22">
        <v>0</v>
      </c>
      <c r="BP156" s="22" t="e">
        <f t="shared" si="22"/>
        <v>#REF!</v>
      </c>
      <c r="BQ156" s="23" t="e">
        <f>IF(SUMPRODUCT($J$85:BP$85,$J156:BP156)&lt;0.5, "Pending", IF(BP156&lt;0.5, "Complete", "In Progress"))</f>
        <v>#REF!</v>
      </c>
      <c r="BR156" s="22">
        <v>0</v>
      </c>
      <c r="BS156" s="22" t="e">
        <f t="shared" si="23"/>
        <v>#REF!</v>
      </c>
      <c r="BT156" s="23" t="e">
        <f>IF(SUMPRODUCT($J$85:BS$85,$J156:BS156)&lt;0.5, "Pending", IF(BS156&lt;0.5, "Complete", "In Progress"))</f>
        <v>#REF!</v>
      </c>
      <c r="BU156" s="22">
        <v>0</v>
      </c>
      <c r="BV156" s="22" t="e">
        <f t="shared" si="24"/>
        <v>#REF!</v>
      </c>
      <c r="BW156" s="23" t="e">
        <f>IF(SUMPRODUCT($J$85:BV$85,$J156:BV156)&lt;0.5, "Pending", IF(BV156&lt;0.5, "Complete", "In Progress"))</f>
        <v>#REF!</v>
      </c>
      <c r="BX156" s="22">
        <v>0</v>
      </c>
      <c r="BY156" s="22" t="e">
        <f t="shared" si="25"/>
        <v>#REF!</v>
      </c>
      <c r="BZ156" s="23" t="e">
        <f>IF(SUMPRODUCT($J$85:BY$85,$J156:BY156)&lt;0.5, "Pending", IF(BY156&lt;0.5, "Complete", "In Progress"))</f>
        <v>#REF!</v>
      </c>
      <c r="CA156" s="22">
        <v>0</v>
      </c>
      <c r="CB156" s="22" t="e">
        <f t="shared" si="26"/>
        <v>#REF!</v>
      </c>
      <c r="CC156" s="23" t="e">
        <f>IF(SUMPRODUCT($J$85:CB$85,$J156:CB156)&lt;0.5, "Pending", IF(CB156&lt;0.5, "Complete", "In Progress"))</f>
        <v>#REF!</v>
      </c>
      <c r="CD156" s="24"/>
      <c r="CE156" s="25">
        <f>SUMPRODUCT($H$85:AY$85,$H156:AY156)</f>
        <v>43</v>
      </c>
    </row>
    <row r="157" spans="1:83" ht="13.8" customHeight="1" x14ac:dyDescent="0.25">
      <c r="A157" s="16" t="s">
        <v>104</v>
      </c>
      <c r="B157" s="16" t="s">
        <v>121</v>
      </c>
      <c r="C157" s="16" t="s">
        <v>520</v>
      </c>
      <c r="D157" s="17" t="s">
        <v>263</v>
      </c>
      <c r="E157" s="158" t="s">
        <v>452</v>
      </c>
      <c r="F157" s="158" t="s">
        <v>497</v>
      </c>
      <c r="G157" s="19"/>
      <c r="H157" s="20">
        <v>1</v>
      </c>
      <c r="I157" s="21">
        <v>6</v>
      </c>
      <c r="J157" s="21">
        <v>0</v>
      </c>
      <c r="K157" s="21">
        <v>0</v>
      </c>
      <c r="L157" s="21">
        <v>0</v>
      </c>
      <c r="M157" s="21">
        <v>0</v>
      </c>
      <c r="N157" s="21">
        <v>0</v>
      </c>
      <c r="O157" s="21">
        <v>0</v>
      </c>
      <c r="P157" s="21">
        <v>0</v>
      </c>
      <c r="Q157" s="21">
        <v>0</v>
      </c>
      <c r="R157" s="21">
        <v>0</v>
      </c>
      <c r="S157" s="21">
        <v>0</v>
      </c>
      <c r="T157" s="21">
        <v>0</v>
      </c>
      <c r="U157" s="21">
        <v>0</v>
      </c>
      <c r="V157" s="21">
        <v>0</v>
      </c>
      <c r="W157" s="21">
        <v>0</v>
      </c>
      <c r="X157" s="21">
        <v>0</v>
      </c>
      <c r="Y157" s="21">
        <v>0</v>
      </c>
      <c r="Z157" s="21">
        <v>0</v>
      </c>
      <c r="AA157" s="21">
        <v>0</v>
      </c>
      <c r="AB157" s="21">
        <v>0</v>
      </c>
      <c r="AC157" s="21">
        <v>0</v>
      </c>
      <c r="AD157" s="21">
        <v>0</v>
      </c>
      <c r="AE157" s="21">
        <v>0</v>
      </c>
      <c r="AF157" s="21">
        <v>0</v>
      </c>
      <c r="AG157" s="21">
        <v>0</v>
      </c>
      <c r="AH157" s="21">
        <v>0</v>
      </c>
      <c r="AI157" s="21">
        <v>0</v>
      </c>
      <c r="AJ157" s="21">
        <v>0</v>
      </c>
      <c r="AK157" s="21">
        <v>0</v>
      </c>
      <c r="AL157" s="21">
        <v>0</v>
      </c>
      <c r="AM157" s="21">
        <v>0</v>
      </c>
      <c r="AN157" s="21">
        <v>0</v>
      </c>
      <c r="AO157" s="21">
        <v>0</v>
      </c>
      <c r="AP157" s="21">
        <v>0</v>
      </c>
      <c r="AQ157" s="21">
        <v>0</v>
      </c>
      <c r="AR157" s="21">
        <v>0</v>
      </c>
      <c r="AS157" s="21">
        <v>0</v>
      </c>
      <c r="AT157" s="21">
        <v>0</v>
      </c>
      <c r="AU157" s="21">
        <v>0</v>
      </c>
      <c r="AV157" s="21">
        <v>0</v>
      </c>
      <c r="AW157" s="21">
        <v>0</v>
      </c>
      <c r="AX157" s="21">
        <v>0</v>
      </c>
      <c r="AY157" s="21">
        <v>0</v>
      </c>
      <c r="AZ157" s="22">
        <v>0</v>
      </c>
      <c r="BA157" s="22" t="e">
        <f>MAX(#REF!-AZ157,0)</f>
        <v>#REF!</v>
      </c>
      <c r="BB157" s="23" t="e">
        <f>IF(SUMPRODUCT($J$85:BA$85,$J157:BA157)&lt;0.5, "Pending", IF(BA157&lt;0.5, "Complete", "In Progress"))</f>
        <v>#REF!</v>
      </c>
      <c r="BC157" s="22">
        <v>0</v>
      </c>
      <c r="BD157" s="22" t="e">
        <f t="shared" si="18"/>
        <v>#REF!</v>
      </c>
      <c r="BE157" s="23" t="e">
        <f>IF(SUMPRODUCT($J$85:BD$85,$J157:BD157)&lt;0.5, "Pending", IF(BD157&lt;0.5, "Complete", "In Progress"))</f>
        <v>#REF!</v>
      </c>
      <c r="BF157" s="22">
        <v>0</v>
      </c>
      <c r="BG157" s="22" t="e">
        <f t="shared" si="19"/>
        <v>#REF!</v>
      </c>
      <c r="BH157" s="23" t="e">
        <f>IF(SUMPRODUCT($J$85:BG$85,$J157:BG157)&lt;0.5, "Pending", IF(BG157&lt;0.5, "Complete", "In Progress"))</f>
        <v>#REF!</v>
      </c>
      <c r="BI157" s="22">
        <v>0</v>
      </c>
      <c r="BJ157" s="22" t="e">
        <f t="shared" si="20"/>
        <v>#REF!</v>
      </c>
      <c r="BK157" s="23" t="e">
        <f>IF(SUMPRODUCT($J$85:BJ$85,$J157:BJ157)&lt;0.5, "Pending", IF(BJ157&lt;0.5, "Complete", "In Progress"))</f>
        <v>#REF!</v>
      </c>
      <c r="BL157" s="22">
        <v>0</v>
      </c>
      <c r="BM157" s="22" t="e">
        <f t="shared" si="21"/>
        <v>#REF!</v>
      </c>
      <c r="BN157" s="23" t="e">
        <f>IF(SUMPRODUCT($J$85:BM$85,$J157:BM157)&lt;0.5, "Pending", IF(BM157&lt;0.5, "Complete", "In Progress"))</f>
        <v>#REF!</v>
      </c>
      <c r="BO157" s="22">
        <v>0</v>
      </c>
      <c r="BP157" s="22" t="e">
        <f t="shared" si="22"/>
        <v>#REF!</v>
      </c>
      <c r="BQ157" s="23" t="e">
        <f>IF(SUMPRODUCT($J$85:BP$85,$J157:BP157)&lt;0.5, "Pending", IF(BP157&lt;0.5, "Complete", "In Progress"))</f>
        <v>#REF!</v>
      </c>
      <c r="BR157" s="22">
        <v>0</v>
      </c>
      <c r="BS157" s="22" t="e">
        <f t="shared" si="23"/>
        <v>#REF!</v>
      </c>
      <c r="BT157" s="23" t="e">
        <f>IF(SUMPRODUCT($J$85:BS$85,$J157:BS157)&lt;0.5, "Pending", IF(BS157&lt;0.5, "Complete", "In Progress"))</f>
        <v>#REF!</v>
      </c>
      <c r="BU157" s="22">
        <v>0</v>
      </c>
      <c r="BV157" s="22" t="e">
        <f t="shared" si="24"/>
        <v>#REF!</v>
      </c>
      <c r="BW157" s="23" t="e">
        <f>IF(SUMPRODUCT($J$85:BV$85,$J157:BV157)&lt;0.5, "Pending", IF(BV157&lt;0.5, "Complete", "In Progress"))</f>
        <v>#REF!</v>
      </c>
      <c r="BX157" s="22">
        <v>0</v>
      </c>
      <c r="BY157" s="22" t="e">
        <f t="shared" si="25"/>
        <v>#REF!</v>
      </c>
      <c r="BZ157" s="23" t="e">
        <f>IF(SUMPRODUCT($J$85:BY$85,$J157:BY157)&lt;0.5, "Pending", IF(BY157&lt;0.5, "Complete", "In Progress"))</f>
        <v>#REF!</v>
      </c>
      <c r="CA157" s="22">
        <v>0</v>
      </c>
      <c r="CB157" s="22" t="e">
        <f t="shared" si="26"/>
        <v>#REF!</v>
      </c>
      <c r="CC157" s="23" t="e">
        <f>IF(SUMPRODUCT($J$85:CB$85,$J157:CB157)&lt;0.5, "Pending", IF(CB157&lt;0.5, "Complete", "In Progress"))</f>
        <v>#REF!</v>
      </c>
      <c r="CD157" s="24"/>
      <c r="CE157" s="25">
        <f>SUMPRODUCT($H$85:AY$85,$H157:AY157)</f>
        <v>43</v>
      </c>
    </row>
    <row r="158" spans="1:83" ht="13.8" customHeight="1" x14ac:dyDescent="0.25">
      <c r="A158" s="16" t="s">
        <v>103</v>
      </c>
      <c r="B158" s="16" t="s">
        <v>110</v>
      </c>
      <c r="C158" s="16" t="s">
        <v>520</v>
      </c>
      <c r="D158" s="17" t="s">
        <v>264</v>
      </c>
      <c r="E158" s="158" t="s">
        <v>453</v>
      </c>
      <c r="F158" s="158" t="s">
        <v>498</v>
      </c>
      <c r="G158" s="19"/>
      <c r="H158" s="20">
        <v>1</v>
      </c>
      <c r="I158" s="21">
        <v>6</v>
      </c>
      <c r="J158" s="21">
        <v>0</v>
      </c>
      <c r="K158" s="21">
        <v>0</v>
      </c>
      <c r="L158" s="21">
        <v>0</v>
      </c>
      <c r="M158" s="21">
        <v>0</v>
      </c>
      <c r="N158" s="21">
        <v>0</v>
      </c>
      <c r="O158" s="21">
        <v>0</v>
      </c>
      <c r="P158" s="21">
        <v>0</v>
      </c>
      <c r="Q158" s="21">
        <v>0</v>
      </c>
      <c r="R158" s="21">
        <v>0</v>
      </c>
      <c r="S158" s="21">
        <v>0</v>
      </c>
      <c r="T158" s="21">
        <v>0</v>
      </c>
      <c r="U158" s="21">
        <v>0</v>
      </c>
      <c r="V158" s="21">
        <v>0</v>
      </c>
      <c r="W158" s="21">
        <v>0</v>
      </c>
      <c r="X158" s="21">
        <v>0</v>
      </c>
      <c r="Y158" s="21">
        <v>0</v>
      </c>
      <c r="Z158" s="21">
        <v>0</v>
      </c>
      <c r="AA158" s="21">
        <v>0</v>
      </c>
      <c r="AB158" s="21">
        <v>0</v>
      </c>
      <c r="AC158" s="21">
        <v>0</v>
      </c>
      <c r="AD158" s="21">
        <v>0</v>
      </c>
      <c r="AE158" s="21">
        <v>0</v>
      </c>
      <c r="AF158" s="21">
        <v>0</v>
      </c>
      <c r="AG158" s="21">
        <v>0</v>
      </c>
      <c r="AH158" s="21">
        <v>0</v>
      </c>
      <c r="AI158" s="21">
        <v>0</v>
      </c>
      <c r="AJ158" s="21">
        <v>0</v>
      </c>
      <c r="AK158" s="21">
        <v>0</v>
      </c>
      <c r="AL158" s="21">
        <v>0</v>
      </c>
      <c r="AM158" s="21">
        <v>0</v>
      </c>
      <c r="AN158" s="21">
        <v>0</v>
      </c>
      <c r="AO158" s="21">
        <v>0</v>
      </c>
      <c r="AP158" s="21">
        <v>0</v>
      </c>
      <c r="AQ158" s="21">
        <v>0</v>
      </c>
      <c r="AR158" s="21">
        <v>0</v>
      </c>
      <c r="AS158" s="21">
        <v>0</v>
      </c>
      <c r="AT158" s="21">
        <v>0</v>
      </c>
      <c r="AU158" s="21">
        <v>0</v>
      </c>
      <c r="AV158" s="21">
        <v>0</v>
      </c>
      <c r="AW158" s="21">
        <v>0</v>
      </c>
      <c r="AX158" s="21">
        <v>0</v>
      </c>
      <c r="AY158" s="21">
        <v>0</v>
      </c>
      <c r="AZ158" s="22">
        <v>0</v>
      </c>
      <c r="BA158" s="22" t="e">
        <f>MAX(#REF!-AZ158,0)</f>
        <v>#REF!</v>
      </c>
      <c r="BB158" s="23" t="e">
        <f>IF(SUMPRODUCT($J$85:BA$85,$J158:BA158)&lt;0.5, "Pending", IF(BA158&lt;0.5, "Complete", "In Progress"))</f>
        <v>#REF!</v>
      </c>
      <c r="BC158" s="22">
        <v>0</v>
      </c>
      <c r="BD158" s="22" t="e">
        <f t="shared" si="18"/>
        <v>#REF!</v>
      </c>
      <c r="BE158" s="23" t="e">
        <f>IF(SUMPRODUCT($J$85:BD$85,$J158:BD158)&lt;0.5, "Pending", IF(BD158&lt;0.5, "Complete", "In Progress"))</f>
        <v>#REF!</v>
      </c>
      <c r="BF158" s="22">
        <v>0</v>
      </c>
      <c r="BG158" s="22" t="e">
        <f t="shared" si="19"/>
        <v>#REF!</v>
      </c>
      <c r="BH158" s="23" t="e">
        <f>IF(SUMPRODUCT($J$85:BG$85,$J158:BG158)&lt;0.5, "Pending", IF(BG158&lt;0.5, "Complete", "In Progress"))</f>
        <v>#REF!</v>
      </c>
      <c r="BI158" s="22">
        <v>0</v>
      </c>
      <c r="BJ158" s="22" t="e">
        <f t="shared" si="20"/>
        <v>#REF!</v>
      </c>
      <c r="BK158" s="23" t="e">
        <f>IF(SUMPRODUCT($J$85:BJ$85,$J158:BJ158)&lt;0.5, "Pending", IF(BJ158&lt;0.5, "Complete", "In Progress"))</f>
        <v>#REF!</v>
      </c>
      <c r="BL158" s="22">
        <v>0</v>
      </c>
      <c r="BM158" s="22" t="e">
        <f t="shared" si="21"/>
        <v>#REF!</v>
      </c>
      <c r="BN158" s="23" t="e">
        <f>IF(SUMPRODUCT($J$85:BM$85,$J158:BM158)&lt;0.5, "Pending", IF(BM158&lt;0.5, "Complete", "In Progress"))</f>
        <v>#REF!</v>
      </c>
      <c r="BO158" s="22">
        <v>0</v>
      </c>
      <c r="BP158" s="22" t="e">
        <f t="shared" si="22"/>
        <v>#REF!</v>
      </c>
      <c r="BQ158" s="23" t="e">
        <f>IF(SUMPRODUCT($J$85:BP$85,$J158:BP158)&lt;0.5, "Pending", IF(BP158&lt;0.5, "Complete", "In Progress"))</f>
        <v>#REF!</v>
      </c>
      <c r="BR158" s="22">
        <v>0</v>
      </c>
      <c r="BS158" s="22" t="e">
        <f t="shared" si="23"/>
        <v>#REF!</v>
      </c>
      <c r="BT158" s="23" t="e">
        <f>IF(SUMPRODUCT($J$85:BS$85,$J158:BS158)&lt;0.5, "Pending", IF(BS158&lt;0.5, "Complete", "In Progress"))</f>
        <v>#REF!</v>
      </c>
      <c r="BU158" s="22">
        <v>0</v>
      </c>
      <c r="BV158" s="22" t="e">
        <f t="shared" si="24"/>
        <v>#REF!</v>
      </c>
      <c r="BW158" s="23" t="e">
        <f>IF(SUMPRODUCT($J$85:BV$85,$J158:BV158)&lt;0.5, "Pending", IF(BV158&lt;0.5, "Complete", "In Progress"))</f>
        <v>#REF!</v>
      </c>
      <c r="BX158" s="22">
        <v>0</v>
      </c>
      <c r="BY158" s="22" t="e">
        <f t="shared" si="25"/>
        <v>#REF!</v>
      </c>
      <c r="BZ158" s="23" t="e">
        <f>IF(SUMPRODUCT($J$85:BY$85,$J158:BY158)&lt;0.5, "Pending", IF(BY158&lt;0.5, "Complete", "In Progress"))</f>
        <v>#REF!</v>
      </c>
      <c r="CA158" s="22">
        <v>0</v>
      </c>
      <c r="CB158" s="22" t="e">
        <f t="shared" si="26"/>
        <v>#REF!</v>
      </c>
      <c r="CC158" s="23" t="e">
        <f>IF(SUMPRODUCT($J$85:CB$85,$J158:CB158)&lt;0.5, "Pending", IF(CB158&lt;0.5, "Complete", "In Progress"))</f>
        <v>#REF!</v>
      </c>
      <c r="CD158" s="24"/>
      <c r="CE158" s="25">
        <f>SUMPRODUCT($H$85:AY$85,$H158:AY158)</f>
        <v>43</v>
      </c>
    </row>
    <row r="159" spans="1:83" ht="13.8" customHeight="1" x14ac:dyDescent="0.25">
      <c r="A159" s="16" t="s">
        <v>103</v>
      </c>
      <c r="B159" s="16" t="s">
        <v>110</v>
      </c>
      <c r="C159" s="16" t="s">
        <v>520</v>
      </c>
      <c r="D159" s="17" t="s">
        <v>265</v>
      </c>
      <c r="E159" s="158" t="s">
        <v>454</v>
      </c>
      <c r="F159" s="158" t="s">
        <v>496</v>
      </c>
      <c r="G159" s="19"/>
      <c r="H159" s="20">
        <v>1</v>
      </c>
      <c r="I159" s="21">
        <v>6</v>
      </c>
      <c r="J159" s="21">
        <v>0</v>
      </c>
      <c r="K159" s="21">
        <v>0</v>
      </c>
      <c r="L159" s="21">
        <v>0</v>
      </c>
      <c r="M159" s="21">
        <v>0</v>
      </c>
      <c r="N159" s="21">
        <v>0</v>
      </c>
      <c r="O159" s="21">
        <v>0</v>
      </c>
      <c r="P159" s="21">
        <v>0</v>
      </c>
      <c r="Q159" s="21">
        <v>0</v>
      </c>
      <c r="R159" s="21">
        <v>0</v>
      </c>
      <c r="S159" s="21">
        <v>0</v>
      </c>
      <c r="T159" s="21">
        <v>0</v>
      </c>
      <c r="U159" s="21">
        <v>0</v>
      </c>
      <c r="V159" s="21">
        <v>0</v>
      </c>
      <c r="W159" s="21">
        <v>0</v>
      </c>
      <c r="X159" s="21">
        <v>0</v>
      </c>
      <c r="Y159" s="21">
        <v>0</v>
      </c>
      <c r="Z159" s="21">
        <v>0</v>
      </c>
      <c r="AA159" s="21">
        <v>0</v>
      </c>
      <c r="AB159" s="21">
        <v>0</v>
      </c>
      <c r="AC159" s="21">
        <v>0</v>
      </c>
      <c r="AD159" s="21">
        <v>0</v>
      </c>
      <c r="AE159" s="21">
        <v>0</v>
      </c>
      <c r="AF159" s="21">
        <v>0</v>
      </c>
      <c r="AG159" s="21">
        <v>0</v>
      </c>
      <c r="AH159" s="21">
        <v>0</v>
      </c>
      <c r="AI159" s="21">
        <v>0</v>
      </c>
      <c r="AJ159" s="21">
        <v>0</v>
      </c>
      <c r="AK159" s="21">
        <v>0</v>
      </c>
      <c r="AL159" s="21">
        <v>0</v>
      </c>
      <c r="AM159" s="21">
        <v>0</v>
      </c>
      <c r="AN159" s="21">
        <v>0</v>
      </c>
      <c r="AO159" s="21">
        <v>0</v>
      </c>
      <c r="AP159" s="21">
        <v>0</v>
      </c>
      <c r="AQ159" s="21">
        <v>0</v>
      </c>
      <c r="AR159" s="21">
        <v>0</v>
      </c>
      <c r="AS159" s="21">
        <v>0</v>
      </c>
      <c r="AT159" s="21">
        <v>0</v>
      </c>
      <c r="AU159" s="21">
        <v>0</v>
      </c>
      <c r="AV159" s="21">
        <v>0</v>
      </c>
      <c r="AW159" s="21">
        <v>0</v>
      </c>
      <c r="AX159" s="21">
        <v>0</v>
      </c>
      <c r="AY159" s="21">
        <v>0</v>
      </c>
      <c r="AZ159" s="22">
        <v>0</v>
      </c>
      <c r="BA159" s="22" t="e">
        <f>MAX(#REF!-AZ159,0)</f>
        <v>#REF!</v>
      </c>
      <c r="BB159" s="23" t="e">
        <f>IF(SUMPRODUCT($J$85:BA$85,$J159:BA159)&lt;0.5, "Pending", IF(BA159&lt;0.5, "Complete", "In Progress"))</f>
        <v>#REF!</v>
      </c>
      <c r="BC159" s="22">
        <v>0</v>
      </c>
      <c r="BD159" s="22" t="e">
        <f t="shared" si="18"/>
        <v>#REF!</v>
      </c>
      <c r="BE159" s="23" t="e">
        <f>IF(SUMPRODUCT($J$85:BD$85,$J159:BD159)&lt;0.5, "Pending", IF(BD159&lt;0.5, "Complete", "In Progress"))</f>
        <v>#REF!</v>
      </c>
      <c r="BF159" s="22">
        <v>0</v>
      </c>
      <c r="BG159" s="22" t="e">
        <f t="shared" si="19"/>
        <v>#REF!</v>
      </c>
      <c r="BH159" s="23" t="e">
        <f>IF(SUMPRODUCT($J$85:BG$85,$J159:BG159)&lt;0.5, "Pending", IF(BG159&lt;0.5, "Complete", "In Progress"))</f>
        <v>#REF!</v>
      </c>
      <c r="BI159" s="22">
        <v>0</v>
      </c>
      <c r="BJ159" s="22" t="e">
        <f t="shared" si="20"/>
        <v>#REF!</v>
      </c>
      <c r="BK159" s="23" t="e">
        <f>IF(SUMPRODUCT($J$85:BJ$85,$J159:BJ159)&lt;0.5, "Pending", IF(BJ159&lt;0.5, "Complete", "In Progress"))</f>
        <v>#REF!</v>
      </c>
      <c r="BL159" s="22">
        <v>0</v>
      </c>
      <c r="BM159" s="22" t="e">
        <f t="shared" si="21"/>
        <v>#REF!</v>
      </c>
      <c r="BN159" s="23" t="e">
        <f>IF(SUMPRODUCT($J$85:BM$85,$J159:BM159)&lt;0.5, "Pending", IF(BM159&lt;0.5, "Complete", "In Progress"))</f>
        <v>#REF!</v>
      </c>
      <c r="BO159" s="22">
        <v>0</v>
      </c>
      <c r="BP159" s="22" t="e">
        <f t="shared" si="22"/>
        <v>#REF!</v>
      </c>
      <c r="BQ159" s="23" t="e">
        <f>IF(SUMPRODUCT($J$85:BP$85,$J159:BP159)&lt;0.5, "Pending", IF(BP159&lt;0.5, "Complete", "In Progress"))</f>
        <v>#REF!</v>
      </c>
      <c r="BR159" s="22">
        <v>0</v>
      </c>
      <c r="BS159" s="22" t="e">
        <f t="shared" si="23"/>
        <v>#REF!</v>
      </c>
      <c r="BT159" s="23" t="e">
        <f>IF(SUMPRODUCT($J$85:BS$85,$J159:BS159)&lt;0.5, "Pending", IF(BS159&lt;0.5, "Complete", "In Progress"))</f>
        <v>#REF!</v>
      </c>
      <c r="BU159" s="22">
        <v>0</v>
      </c>
      <c r="BV159" s="22" t="e">
        <f t="shared" si="24"/>
        <v>#REF!</v>
      </c>
      <c r="BW159" s="23" t="e">
        <f>IF(SUMPRODUCT($J$85:BV$85,$J159:BV159)&lt;0.5, "Pending", IF(BV159&lt;0.5, "Complete", "In Progress"))</f>
        <v>#REF!</v>
      </c>
      <c r="BX159" s="22">
        <v>0</v>
      </c>
      <c r="BY159" s="22" t="e">
        <f t="shared" si="25"/>
        <v>#REF!</v>
      </c>
      <c r="BZ159" s="23" t="e">
        <f>IF(SUMPRODUCT($J$85:BY$85,$J159:BY159)&lt;0.5, "Pending", IF(BY159&lt;0.5, "Complete", "In Progress"))</f>
        <v>#REF!</v>
      </c>
      <c r="CA159" s="22">
        <v>0</v>
      </c>
      <c r="CB159" s="22" t="e">
        <f t="shared" si="26"/>
        <v>#REF!</v>
      </c>
      <c r="CC159" s="23" t="e">
        <f>IF(SUMPRODUCT($J$85:CB$85,$J159:CB159)&lt;0.5, "Pending", IF(CB159&lt;0.5, "Complete", "In Progress"))</f>
        <v>#REF!</v>
      </c>
      <c r="CD159" s="24"/>
      <c r="CE159" s="25">
        <f>SUMPRODUCT($H$85:AY$85,$H159:AY159)</f>
        <v>43</v>
      </c>
    </row>
    <row r="160" spans="1:83" ht="13.8" customHeight="1" x14ac:dyDescent="0.25">
      <c r="A160" s="16" t="s">
        <v>103</v>
      </c>
      <c r="B160" s="16" t="s">
        <v>110</v>
      </c>
      <c r="C160" s="16" t="s">
        <v>520</v>
      </c>
      <c r="D160" s="17" t="s">
        <v>266</v>
      </c>
      <c r="E160" s="158" t="s">
        <v>455</v>
      </c>
      <c r="F160" s="158" t="s">
        <v>495</v>
      </c>
      <c r="G160" s="169"/>
      <c r="H160" s="20">
        <v>1</v>
      </c>
      <c r="I160" s="21">
        <v>6</v>
      </c>
      <c r="J160" s="21">
        <v>0</v>
      </c>
      <c r="K160" s="21">
        <v>0</v>
      </c>
      <c r="L160" s="21">
        <v>0</v>
      </c>
      <c r="M160" s="21">
        <v>0</v>
      </c>
      <c r="N160" s="21">
        <v>0</v>
      </c>
      <c r="O160" s="21">
        <v>0</v>
      </c>
      <c r="P160" s="21">
        <v>0</v>
      </c>
      <c r="Q160" s="21">
        <v>0</v>
      </c>
      <c r="R160" s="21">
        <v>0</v>
      </c>
      <c r="S160" s="21">
        <v>0</v>
      </c>
      <c r="T160" s="21">
        <v>0</v>
      </c>
      <c r="U160" s="21">
        <v>0</v>
      </c>
      <c r="V160" s="21">
        <v>0</v>
      </c>
      <c r="W160" s="21">
        <v>0</v>
      </c>
      <c r="X160" s="21">
        <v>0</v>
      </c>
      <c r="Y160" s="21">
        <v>0</v>
      </c>
      <c r="Z160" s="21">
        <v>0</v>
      </c>
      <c r="AA160" s="21">
        <v>0</v>
      </c>
      <c r="AB160" s="21">
        <v>0</v>
      </c>
      <c r="AC160" s="21">
        <v>0</v>
      </c>
      <c r="AD160" s="21">
        <v>0</v>
      </c>
      <c r="AE160" s="21">
        <v>0</v>
      </c>
      <c r="AF160" s="21">
        <v>0</v>
      </c>
      <c r="AG160" s="21">
        <v>0</v>
      </c>
      <c r="AH160" s="21">
        <v>0</v>
      </c>
      <c r="AI160" s="21">
        <v>0</v>
      </c>
      <c r="AJ160" s="21">
        <v>0</v>
      </c>
      <c r="AK160" s="21">
        <v>0</v>
      </c>
      <c r="AL160" s="21">
        <v>0</v>
      </c>
      <c r="AM160" s="21">
        <v>0</v>
      </c>
      <c r="AN160" s="21">
        <v>0</v>
      </c>
      <c r="AO160" s="21">
        <v>0</v>
      </c>
      <c r="AP160" s="21">
        <v>0</v>
      </c>
      <c r="AQ160" s="21">
        <v>0</v>
      </c>
      <c r="AR160" s="21">
        <v>0</v>
      </c>
      <c r="AS160" s="21">
        <v>0</v>
      </c>
      <c r="AT160" s="21">
        <v>0</v>
      </c>
      <c r="AU160" s="21">
        <v>0</v>
      </c>
      <c r="AV160" s="21">
        <v>0</v>
      </c>
      <c r="AW160" s="21">
        <v>0</v>
      </c>
      <c r="AX160" s="21">
        <v>0</v>
      </c>
      <c r="AY160" s="21">
        <v>0</v>
      </c>
      <c r="AZ160" s="22">
        <v>0</v>
      </c>
      <c r="BA160" s="22" t="e">
        <f>MAX(#REF!-AZ160,0)</f>
        <v>#REF!</v>
      </c>
      <c r="BB160" s="23" t="e">
        <f>IF(SUMPRODUCT($J$85:BA$85,$J160:BA160)&lt;0.5, "Pending", IF(BA160&lt;0.5, "Complete", "In Progress"))</f>
        <v>#REF!</v>
      </c>
      <c r="BC160" s="22">
        <v>0</v>
      </c>
      <c r="BD160" s="22" t="e">
        <f t="shared" si="18"/>
        <v>#REF!</v>
      </c>
      <c r="BE160" s="23" t="e">
        <f>IF(SUMPRODUCT($J$85:BD$85,$J160:BD160)&lt;0.5, "Pending", IF(BD160&lt;0.5, "Complete", "In Progress"))</f>
        <v>#REF!</v>
      </c>
      <c r="BF160" s="22">
        <v>0</v>
      </c>
      <c r="BG160" s="22" t="e">
        <f t="shared" si="19"/>
        <v>#REF!</v>
      </c>
      <c r="BH160" s="23" t="e">
        <f>IF(SUMPRODUCT($J$85:BG$85,$J160:BG160)&lt;0.5, "Pending", IF(BG160&lt;0.5, "Complete", "In Progress"))</f>
        <v>#REF!</v>
      </c>
      <c r="BI160" s="22">
        <v>0</v>
      </c>
      <c r="BJ160" s="22" t="e">
        <f t="shared" si="20"/>
        <v>#REF!</v>
      </c>
      <c r="BK160" s="23" t="e">
        <f>IF(SUMPRODUCT($J$85:BJ$85,$J160:BJ160)&lt;0.5, "Pending", IF(BJ160&lt;0.5, "Complete", "In Progress"))</f>
        <v>#REF!</v>
      </c>
      <c r="BL160" s="22">
        <v>0</v>
      </c>
      <c r="BM160" s="22" t="e">
        <f t="shared" si="21"/>
        <v>#REF!</v>
      </c>
      <c r="BN160" s="23" t="e">
        <f>IF(SUMPRODUCT($J$85:BM$85,$J160:BM160)&lt;0.5, "Pending", IF(BM160&lt;0.5, "Complete", "In Progress"))</f>
        <v>#REF!</v>
      </c>
      <c r="BO160" s="22">
        <v>0</v>
      </c>
      <c r="BP160" s="22" t="e">
        <f t="shared" si="22"/>
        <v>#REF!</v>
      </c>
      <c r="BQ160" s="23" t="e">
        <f>IF(SUMPRODUCT($J$85:BP$85,$J160:BP160)&lt;0.5, "Pending", IF(BP160&lt;0.5, "Complete", "In Progress"))</f>
        <v>#REF!</v>
      </c>
      <c r="BR160" s="22">
        <v>0</v>
      </c>
      <c r="BS160" s="22" t="e">
        <f t="shared" si="23"/>
        <v>#REF!</v>
      </c>
      <c r="BT160" s="23" t="e">
        <f>IF(SUMPRODUCT($J$85:BS$85,$J160:BS160)&lt;0.5, "Pending", IF(BS160&lt;0.5, "Complete", "In Progress"))</f>
        <v>#REF!</v>
      </c>
      <c r="BU160" s="22">
        <v>0</v>
      </c>
      <c r="BV160" s="22" t="e">
        <f t="shared" si="24"/>
        <v>#REF!</v>
      </c>
      <c r="BW160" s="23" t="e">
        <f>IF(SUMPRODUCT($J$85:BV$85,$J160:BV160)&lt;0.5, "Pending", IF(BV160&lt;0.5, "Complete", "In Progress"))</f>
        <v>#REF!</v>
      </c>
      <c r="BX160" s="22">
        <v>0</v>
      </c>
      <c r="BY160" s="22" t="e">
        <f t="shared" si="25"/>
        <v>#REF!</v>
      </c>
      <c r="BZ160" s="23" t="e">
        <f>IF(SUMPRODUCT($J$85:BY$85,$J160:BY160)&lt;0.5, "Pending", IF(BY160&lt;0.5, "Complete", "In Progress"))</f>
        <v>#REF!</v>
      </c>
      <c r="CA160" s="22">
        <v>0</v>
      </c>
      <c r="CB160" s="22" t="e">
        <f t="shared" si="26"/>
        <v>#REF!</v>
      </c>
      <c r="CC160" s="23" t="e">
        <f>IF(SUMPRODUCT($J$85:CB$85,$J160:CB160)&lt;0.5, "Pending", IF(CB160&lt;0.5, "Complete", "In Progress"))</f>
        <v>#REF!</v>
      </c>
      <c r="CD160" s="24"/>
      <c r="CE160" s="25">
        <f>SUMPRODUCT($H$85:AY$85,$H160:AY160)</f>
        <v>43</v>
      </c>
    </row>
    <row r="161" spans="1:83" ht="13.8" customHeight="1" x14ac:dyDescent="0.25">
      <c r="A161" s="16" t="s">
        <v>103</v>
      </c>
      <c r="B161" s="16" t="s">
        <v>120</v>
      </c>
      <c r="C161" s="16" t="s">
        <v>520</v>
      </c>
      <c r="D161" s="17" t="s">
        <v>267</v>
      </c>
      <c r="E161" s="158" t="s">
        <v>456</v>
      </c>
      <c r="F161" s="158" t="s">
        <v>493</v>
      </c>
      <c r="G161" s="168"/>
      <c r="H161" s="20">
        <v>1</v>
      </c>
      <c r="I161" s="21">
        <v>56</v>
      </c>
      <c r="J161" s="21">
        <v>0</v>
      </c>
      <c r="K161" s="21">
        <v>0</v>
      </c>
      <c r="L161" s="21">
        <v>0</v>
      </c>
      <c r="M161" s="21">
        <v>0</v>
      </c>
      <c r="N161" s="21">
        <v>0</v>
      </c>
      <c r="O161" s="21">
        <v>0</v>
      </c>
      <c r="P161" s="21">
        <v>0</v>
      </c>
      <c r="Q161" s="21">
        <v>0</v>
      </c>
      <c r="R161" s="21">
        <v>0</v>
      </c>
      <c r="S161" s="21">
        <v>0</v>
      </c>
      <c r="T161" s="21">
        <v>0</v>
      </c>
      <c r="U161" s="21">
        <v>0</v>
      </c>
      <c r="V161" s="21">
        <v>0</v>
      </c>
      <c r="W161" s="21">
        <v>0</v>
      </c>
      <c r="X161" s="21">
        <v>0</v>
      </c>
      <c r="Y161" s="21">
        <v>0</v>
      </c>
      <c r="Z161" s="21">
        <v>0</v>
      </c>
      <c r="AA161" s="21">
        <v>0</v>
      </c>
      <c r="AB161" s="21">
        <v>0</v>
      </c>
      <c r="AC161" s="21">
        <v>0</v>
      </c>
      <c r="AD161" s="21">
        <v>0</v>
      </c>
      <c r="AE161" s="21">
        <v>0</v>
      </c>
      <c r="AF161" s="21">
        <v>0</v>
      </c>
      <c r="AG161" s="21">
        <v>0</v>
      </c>
      <c r="AH161" s="21">
        <v>0</v>
      </c>
      <c r="AI161" s="21">
        <v>0</v>
      </c>
      <c r="AJ161" s="21">
        <v>0</v>
      </c>
      <c r="AK161" s="21">
        <v>0</v>
      </c>
      <c r="AL161" s="21">
        <v>0</v>
      </c>
      <c r="AM161" s="21">
        <v>0</v>
      </c>
      <c r="AN161" s="21">
        <v>0</v>
      </c>
      <c r="AO161" s="21">
        <v>0</v>
      </c>
      <c r="AP161" s="21">
        <v>0</v>
      </c>
      <c r="AQ161" s="21">
        <v>0</v>
      </c>
      <c r="AR161" s="21">
        <v>0</v>
      </c>
      <c r="AS161" s="21">
        <v>0</v>
      </c>
      <c r="AT161" s="21">
        <v>0</v>
      </c>
      <c r="AU161" s="21">
        <v>0</v>
      </c>
      <c r="AV161" s="21">
        <v>0</v>
      </c>
      <c r="AW161" s="21">
        <v>0</v>
      </c>
      <c r="AX161" s="21">
        <v>0</v>
      </c>
      <c r="AY161" s="21">
        <v>0</v>
      </c>
      <c r="AZ161" s="22">
        <v>0</v>
      </c>
      <c r="BA161" s="22" t="e">
        <f>MAX(#REF!-AZ161,0)</f>
        <v>#REF!</v>
      </c>
      <c r="BB161" s="23" t="e">
        <f>IF(SUMPRODUCT($J$85:BA$85,$J161:BA161)&lt;0.5, "Pending", IF(BA161&lt;0.5, "Complete", "In Progress"))</f>
        <v>#REF!</v>
      </c>
      <c r="BC161" s="22">
        <v>0</v>
      </c>
      <c r="BD161" s="22" t="e">
        <f t="shared" si="18"/>
        <v>#REF!</v>
      </c>
      <c r="BE161" s="23" t="e">
        <f>IF(SUMPRODUCT($J$85:BD$85,$J161:BD161)&lt;0.5, "Pending", IF(BD161&lt;0.5, "Complete", "In Progress"))</f>
        <v>#REF!</v>
      </c>
      <c r="BF161" s="22">
        <v>0</v>
      </c>
      <c r="BG161" s="22" t="e">
        <f t="shared" si="19"/>
        <v>#REF!</v>
      </c>
      <c r="BH161" s="23" t="e">
        <f>IF(SUMPRODUCT($J$85:BG$85,$J161:BG161)&lt;0.5, "Pending", IF(BG161&lt;0.5, "Complete", "In Progress"))</f>
        <v>#REF!</v>
      </c>
      <c r="BI161" s="22">
        <v>0</v>
      </c>
      <c r="BJ161" s="22" t="e">
        <f t="shared" si="20"/>
        <v>#REF!</v>
      </c>
      <c r="BK161" s="23" t="e">
        <f>IF(SUMPRODUCT($J$85:BJ$85,$J161:BJ161)&lt;0.5, "Pending", IF(BJ161&lt;0.5, "Complete", "In Progress"))</f>
        <v>#REF!</v>
      </c>
      <c r="BL161" s="22">
        <v>0</v>
      </c>
      <c r="BM161" s="22" t="e">
        <f t="shared" si="21"/>
        <v>#REF!</v>
      </c>
      <c r="BN161" s="23" t="e">
        <f>IF(SUMPRODUCT($J$85:BM$85,$J161:BM161)&lt;0.5, "Pending", IF(BM161&lt;0.5, "Complete", "In Progress"))</f>
        <v>#REF!</v>
      </c>
      <c r="BO161" s="22">
        <v>0</v>
      </c>
      <c r="BP161" s="22" t="e">
        <f t="shared" si="22"/>
        <v>#REF!</v>
      </c>
      <c r="BQ161" s="23" t="e">
        <f>IF(SUMPRODUCT($J$85:BP$85,$J161:BP161)&lt;0.5, "Pending", IF(BP161&lt;0.5, "Complete", "In Progress"))</f>
        <v>#REF!</v>
      </c>
      <c r="BR161" s="22">
        <v>0</v>
      </c>
      <c r="BS161" s="22" t="e">
        <f t="shared" si="23"/>
        <v>#REF!</v>
      </c>
      <c r="BT161" s="23" t="e">
        <f>IF(SUMPRODUCT($J$85:BS$85,$J161:BS161)&lt;0.5, "Pending", IF(BS161&lt;0.5, "Complete", "In Progress"))</f>
        <v>#REF!</v>
      </c>
      <c r="BU161" s="22">
        <v>0</v>
      </c>
      <c r="BV161" s="22" t="e">
        <f t="shared" si="24"/>
        <v>#REF!</v>
      </c>
      <c r="BW161" s="23" t="e">
        <f>IF(SUMPRODUCT($J$85:BV$85,$J161:BV161)&lt;0.5, "Pending", IF(BV161&lt;0.5, "Complete", "In Progress"))</f>
        <v>#REF!</v>
      </c>
      <c r="BX161" s="22">
        <v>0</v>
      </c>
      <c r="BY161" s="22" t="e">
        <f t="shared" si="25"/>
        <v>#REF!</v>
      </c>
      <c r="BZ161" s="23" t="e">
        <f>IF(SUMPRODUCT($J$85:BY$85,$J161:BY161)&lt;0.5, "Pending", IF(BY161&lt;0.5, "Complete", "In Progress"))</f>
        <v>#REF!</v>
      </c>
      <c r="CA161" s="22">
        <v>0</v>
      </c>
      <c r="CB161" s="22" t="e">
        <f t="shared" si="26"/>
        <v>#REF!</v>
      </c>
      <c r="CC161" s="23" t="e">
        <f>IF(SUMPRODUCT($J$85:CB$85,$J161:CB161)&lt;0.5, "Pending", IF(CB161&lt;0.5, "Complete", "In Progress"))</f>
        <v>#REF!</v>
      </c>
      <c r="CD161" s="24"/>
      <c r="CE161" s="25">
        <f>SUMPRODUCT($H$85:AY$85,$H161:AY161)</f>
        <v>393</v>
      </c>
    </row>
    <row r="162" spans="1:83" ht="13.8" customHeight="1" x14ac:dyDescent="0.25">
      <c r="A162" s="16" t="s">
        <v>104</v>
      </c>
      <c r="B162" s="16" t="s">
        <v>122</v>
      </c>
      <c r="C162" s="16" t="s">
        <v>520</v>
      </c>
      <c r="D162" s="17" t="s">
        <v>268</v>
      </c>
      <c r="E162" s="158" t="s">
        <v>457</v>
      </c>
      <c r="F162" s="158" t="s">
        <v>494</v>
      </c>
      <c r="G162" s="19"/>
      <c r="H162" s="20">
        <v>8</v>
      </c>
      <c r="I162" s="21">
        <v>6</v>
      </c>
      <c r="J162" s="21">
        <v>0</v>
      </c>
      <c r="K162" s="21">
        <v>0</v>
      </c>
      <c r="L162" s="21">
        <v>0</v>
      </c>
      <c r="M162" s="21">
        <v>0</v>
      </c>
      <c r="N162" s="21">
        <v>0</v>
      </c>
      <c r="O162" s="21">
        <v>0</v>
      </c>
      <c r="P162" s="21">
        <v>0</v>
      </c>
      <c r="Q162" s="21">
        <v>0</v>
      </c>
      <c r="R162" s="21">
        <v>0</v>
      </c>
      <c r="S162" s="21">
        <v>0</v>
      </c>
      <c r="T162" s="21">
        <v>0</v>
      </c>
      <c r="U162" s="21">
        <v>0</v>
      </c>
      <c r="V162" s="21">
        <v>0</v>
      </c>
      <c r="W162" s="21">
        <v>0</v>
      </c>
      <c r="X162" s="21">
        <v>0</v>
      </c>
      <c r="Y162" s="21">
        <v>0</v>
      </c>
      <c r="Z162" s="21">
        <v>0</v>
      </c>
      <c r="AA162" s="21">
        <v>0</v>
      </c>
      <c r="AB162" s="21">
        <v>0</v>
      </c>
      <c r="AC162" s="21">
        <v>0</v>
      </c>
      <c r="AD162" s="21">
        <v>0</v>
      </c>
      <c r="AE162" s="21">
        <v>0</v>
      </c>
      <c r="AF162" s="21">
        <v>0</v>
      </c>
      <c r="AG162" s="21">
        <v>0</v>
      </c>
      <c r="AH162" s="21">
        <v>0</v>
      </c>
      <c r="AI162" s="21">
        <v>0</v>
      </c>
      <c r="AJ162" s="21">
        <v>0</v>
      </c>
      <c r="AK162" s="21">
        <v>0</v>
      </c>
      <c r="AL162" s="21">
        <v>0</v>
      </c>
      <c r="AM162" s="21">
        <v>0</v>
      </c>
      <c r="AN162" s="21">
        <v>0</v>
      </c>
      <c r="AO162" s="21">
        <v>0</v>
      </c>
      <c r="AP162" s="21">
        <v>0</v>
      </c>
      <c r="AQ162" s="21">
        <v>0</v>
      </c>
      <c r="AR162" s="21">
        <v>0</v>
      </c>
      <c r="AS162" s="21">
        <v>0</v>
      </c>
      <c r="AT162" s="21">
        <v>0</v>
      </c>
      <c r="AU162" s="21">
        <v>0</v>
      </c>
      <c r="AV162" s="21">
        <v>0</v>
      </c>
      <c r="AW162" s="21">
        <v>0</v>
      </c>
      <c r="AX162" s="21">
        <v>0</v>
      </c>
      <c r="AY162" s="21">
        <v>0</v>
      </c>
      <c r="AZ162" s="22">
        <v>0</v>
      </c>
      <c r="BA162" s="22" t="e">
        <f>MAX(#REF!-AZ162,0)</f>
        <v>#REF!</v>
      </c>
      <c r="BB162" s="23" t="e">
        <f>IF(SUMPRODUCT($J$85:BA$85,$J162:BA162)&lt;0.5, "Pending", IF(BA162&lt;0.5, "Complete", "In Progress"))</f>
        <v>#REF!</v>
      </c>
      <c r="BC162" s="22">
        <v>0</v>
      </c>
      <c r="BD162" s="22" t="e">
        <f t="shared" si="18"/>
        <v>#REF!</v>
      </c>
      <c r="BE162" s="23" t="e">
        <f>IF(SUMPRODUCT($J$85:BD$85,$J162:BD162)&lt;0.5, "Pending", IF(BD162&lt;0.5, "Complete", "In Progress"))</f>
        <v>#REF!</v>
      </c>
      <c r="BF162" s="22">
        <v>0</v>
      </c>
      <c r="BG162" s="22" t="e">
        <f t="shared" si="19"/>
        <v>#REF!</v>
      </c>
      <c r="BH162" s="23" t="e">
        <f>IF(SUMPRODUCT($J$85:BG$85,$J162:BG162)&lt;0.5, "Pending", IF(BG162&lt;0.5, "Complete", "In Progress"))</f>
        <v>#REF!</v>
      </c>
      <c r="BI162" s="22">
        <v>0</v>
      </c>
      <c r="BJ162" s="22" t="e">
        <f t="shared" si="20"/>
        <v>#REF!</v>
      </c>
      <c r="BK162" s="23" t="e">
        <f>IF(SUMPRODUCT($J$85:BJ$85,$J162:BJ162)&lt;0.5, "Pending", IF(BJ162&lt;0.5, "Complete", "In Progress"))</f>
        <v>#REF!</v>
      </c>
      <c r="BL162" s="22">
        <v>0</v>
      </c>
      <c r="BM162" s="22" t="e">
        <f t="shared" si="21"/>
        <v>#REF!</v>
      </c>
      <c r="BN162" s="23" t="e">
        <f>IF(SUMPRODUCT($J$85:BM$85,$J162:BM162)&lt;0.5, "Pending", IF(BM162&lt;0.5, "Complete", "In Progress"))</f>
        <v>#REF!</v>
      </c>
      <c r="BO162" s="22">
        <v>0</v>
      </c>
      <c r="BP162" s="22" t="e">
        <f t="shared" si="22"/>
        <v>#REF!</v>
      </c>
      <c r="BQ162" s="23" t="e">
        <f>IF(SUMPRODUCT($J$85:BP$85,$J162:BP162)&lt;0.5, "Pending", IF(BP162&lt;0.5, "Complete", "In Progress"))</f>
        <v>#REF!</v>
      </c>
      <c r="BR162" s="22">
        <v>0</v>
      </c>
      <c r="BS162" s="22" t="e">
        <f t="shared" si="23"/>
        <v>#REF!</v>
      </c>
      <c r="BT162" s="23" t="e">
        <f>IF(SUMPRODUCT($J$85:BS$85,$J162:BS162)&lt;0.5, "Pending", IF(BS162&lt;0.5, "Complete", "In Progress"))</f>
        <v>#REF!</v>
      </c>
      <c r="BU162" s="22">
        <v>0</v>
      </c>
      <c r="BV162" s="22" t="e">
        <f t="shared" si="24"/>
        <v>#REF!</v>
      </c>
      <c r="BW162" s="23" t="e">
        <f>IF(SUMPRODUCT($J$85:BV$85,$J162:BV162)&lt;0.5, "Pending", IF(BV162&lt;0.5, "Complete", "In Progress"))</f>
        <v>#REF!</v>
      </c>
      <c r="BX162" s="22">
        <v>0</v>
      </c>
      <c r="BY162" s="22" t="e">
        <f t="shared" si="25"/>
        <v>#REF!</v>
      </c>
      <c r="BZ162" s="23" t="e">
        <f>IF(SUMPRODUCT($J$85:BY$85,$J162:BY162)&lt;0.5, "Pending", IF(BY162&lt;0.5, "Complete", "In Progress"))</f>
        <v>#REF!</v>
      </c>
      <c r="CA162" s="22">
        <v>0</v>
      </c>
      <c r="CB162" s="22" t="e">
        <f t="shared" si="26"/>
        <v>#REF!</v>
      </c>
      <c r="CC162" s="23" t="e">
        <f>IF(SUMPRODUCT($J$85:CB$85,$J162:CB162)&lt;0.5, "Pending", IF(CB162&lt;0.5, "Complete", "In Progress"))</f>
        <v>#REF!</v>
      </c>
      <c r="CD162" s="24"/>
      <c r="CE162" s="25">
        <f>SUMPRODUCT($H$85:AY$85,$H162:AY162)</f>
        <v>50</v>
      </c>
    </row>
    <row r="163" spans="1:83" ht="13.8" customHeight="1" x14ac:dyDescent="0.25">
      <c r="A163" s="16" t="s">
        <v>104</v>
      </c>
      <c r="B163" s="16" t="s">
        <v>122</v>
      </c>
      <c r="C163" s="16" t="s">
        <v>520</v>
      </c>
      <c r="D163" s="17" t="s">
        <v>269</v>
      </c>
      <c r="E163" s="158" t="s">
        <v>458</v>
      </c>
      <c r="F163" s="158" t="s">
        <v>497</v>
      </c>
      <c r="G163" s="19"/>
      <c r="H163" s="20">
        <v>1</v>
      </c>
      <c r="I163" s="21">
        <v>6</v>
      </c>
      <c r="J163" s="21">
        <v>0</v>
      </c>
      <c r="K163" s="21">
        <v>0</v>
      </c>
      <c r="L163" s="21">
        <v>0</v>
      </c>
      <c r="M163" s="21">
        <v>0</v>
      </c>
      <c r="N163" s="21">
        <v>0</v>
      </c>
      <c r="O163" s="21">
        <v>0</v>
      </c>
      <c r="P163" s="21">
        <v>0</v>
      </c>
      <c r="Q163" s="21">
        <v>0</v>
      </c>
      <c r="R163" s="21">
        <v>0</v>
      </c>
      <c r="S163" s="21">
        <v>0</v>
      </c>
      <c r="T163" s="21">
        <v>0</v>
      </c>
      <c r="U163" s="21">
        <v>0</v>
      </c>
      <c r="V163" s="21">
        <v>0</v>
      </c>
      <c r="W163" s="21">
        <v>0</v>
      </c>
      <c r="X163" s="21">
        <v>0</v>
      </c>
      <c r="Y163" s="21">
        <v>0</v>
      </c>
      <c r="Z163" s="21">
        <v>0</v>
      </c>
      <c r="AA163" s="21">
        <v>0</v>
      </c>
      <c r="AB163" s="21">
        <v>0</v>
      </c>
      <c r="AC163" s="21">
        <v>0</v>
      </c>
      <c r="AD163" s="21">
        <v>0</v>
      </c>
      <c r="AE163" s="21">
        <v>0</v>
      </c>
      <c r="AF163" s="21">
        <v>0</v>
      </c>
      <c r="AG163" s="21">
        <v>0</v>
      </c>
      <c r="AH163" s="21">
        <v>0</v>
      </c>
      <c r="AI163" s="21">
        <v>0</v>
      </c>
      <c r="AJ163" s="21">
        <v>0</v>
      </c>
      <c r="AK163" s="21">
        <v>0</v>
      </c>
      <c r="AL163" s="21">
        <v>0</v>
      </c>
      <c r="AM163" s="21">
        <v>0</v>
      </c>
      <c r="AN163" s="21">
        <v>0</v>
      </c>
      <c r="AO163" s="21">
        <v>0</v>
      </c>
      <c r="AP163" s="21">
        <v>0</v>
      </c>
      <c r="AQ163" s="21">
        <v>0</v>
      </c>
      <c r="AR163" s="21">
        <v>0</v>
      </c>
      <c r="AS163" s="21">
        <v>0</v>
      </c>
      <c r="AT163" s="21">
        <v>0</v>
      </c>
      <c r="AU163" s="21">
        <v>0</v>
      </c>
      <c r="AV163" s="21">
        <v>0</v>
      </c>
      <c r="AW163" s="21">
        <v>0</v>
      </c>
      <c r="AX163" s="21">
        <v>0</v>
      </c>
      <c r="AY163" s="21">
        <v>0</v>
      </c>
      <c r="AZ163" s="22">
        <v>0</v>
      </c>
      <c r="BA163" s="22" t="e">
        <f>MAX(#REF!-AZ163,0)</f>
        <v>#REF!</v>
      </c>
      <c r="BB163" s="23" t="e">
        <f>IF(SUMPRODUCT($J$85:BA$85,$J163:BA163)&lt;0.5, "Pending", IF(BA163&lt;0.5, "Complete", "In Progress"))</f>
        <v>#REF!</v>
      </c>
      <c r="BC163" s="22">
        <v>0</v>
      </c>
      <c r="BD163" s="22" t="e">
        <f t="shared" si="18"/>
        <v>#REF!</v>
      </c>
      <c r="BE163" s="23" t="e">
        <f>IF(SUMPRODUCT($J$85:BD$85,$J163:BD163)&lt;0.5, "Pending", IF(BD163&lt;0.5, "Complete", "In Progress"))</f>
        <v>#REF!</v>
      </c>
      <c r="BF163" s="22">
        <v>0</v>
      </c>
      <c r="BG163" s="22" t="e">
        <f t="shared" si="19"/>
        <v>#REF!</v>
      </c>
      <c r="BH163" s="23" t="e">
        <f>IF(SUMPRODUCT($J$85:BG$85,$J163:BG163)&lt;0.5, "Pending", IF(BG163&lt;0.5, "Complete", "In Progress"))</f>
        <v>#REF!</v>
      </c>
      <c r="BI163" s="22">
        <v>0</v>
      </c>
      <c r="BJ163" s="22" t="e">
        <f t="shared" si="20"/>
        <v>#REF!</v>
      </c>
      <c r="BK163" s="23" t="e">
        <f>IF(SUMPRODUCT($J$85:BJ$85,$J163:BJ163)&lt;0.5, "Pending", IF(BJ163&lt;0.5, "Complete", "In Progress"))</f>
        <v>#REF!</v>
      </c>
      <c r="BL163" s="22">
        <v>0</v>
      </c>
      <c r="BM163" s="22" t="e">
        <f t="shared" si="21"/>
        <v>#REF!</v>
      </c>
      <c r="BN163" s="23" t="e">
        <f>IF(SUMPRODUCT($J$85:BM$85,$J163:BM163)&lt;0.5, "Pending", IF(BM163&lt;0.5, "Complete", "In Progress"))</f>
        <v>#REF!</v>
      </c>
      <c r="BO163" s="22">
        <v>0</v>
      </c>
      <c r="BP163" s="22" t="e">
        <f t="shared" si="22"/>
        <v>#REF!</v>
      </c>
      <c r="BQ163" s="23" t="e">
        <f>IF(SUMPRODUCT($J$85:BP$85,$J163:BP163)&lt;0.5, "Pending", IF(BP163&lt;0.5, "Complete", "In Progress"))</f>
        <v>#REF!</v>
      </c>
      <c r="BR163" s="22">
        <v>0</v>
      </c>
      <c r="BS163" s="22" t="e">
        <f t="shared" si="23"/>
        <v>#REF!</v>
      </c>
      <c r="BT163" s="23" t="e">
        <f>IF(SUMPRODUCT($J$85:BS$85,$J163:BS163)&lt;0.5, "Pending", IF(BS163&lt;0.5, "Complete", "In Progress"))</f>
        <v>#REF!</v>
      </c>
      <c r="BU163" s="22">
        <v>0</v>
      </c>
      <c r="BV163" s="22" t="e">
        <f t="shared" si="24"/>
        <v>#REF!</v>
      </c>
      <c r="BW163" s="23" t="e">
        <f>IF(SUMPRODUCT($J$85:BV$85,$J163:BV163)&lt;0.5, "Pending", IF(BV163&lt;0.5, "Complete", "In Progress"))</f>
        <v>#REF!</v>
      </c>
      <c r="BX163" s="22">
        <v>0</v>
      </c>
      <c r="BY163" s="22" t="e">
        <f t="shared" si="25"/>
        <v>#REF!</v>
      </c>
      <c r="BZ163" s="23" t="e">
        <f>IF(SUMPRODUCT($J$85:BY$85,$J163:BY163)&lt;0.5, "Pending", IF(BY163&lt;0.5, "Complete", "In Progress"))</f>
        <v>#REF!</v>
      </c>
      <c r="CA163" s="22">
        <v>0</v>
      </c>
      <c r="CB163" s="22" t="e">
        <f t="shared" si="26"/>
        <v>#REF!</v>
      </c>
      <c r="CC163" s="23" t="e">
        <f>IF(SUMPRODUCT($J$85:CB$85,$J163:CB163)&lt;0.5, "Pending", IF(CB163&lt;0.5, "Complete", "In Progress"))</f>
        <v>#REF!</v>
      </c>
      <c r="CD163" s="24"/>
      <c r="CE163" s="25">
        <f>SUMPRODUCT($H$85:AY$85,$H163:AY163)</f>
        <v>43</v>
      </c>
    </row>
    <row r="164" spans="1:83" ht="13.8" customHeight="1" x14ac:dyDescent="0.25">
      <c r="A164" s="16" t="s">
        <v>104</v>
      </c>
      <c r="B164" s="16" t="s">
        <v>122</v>
      </c>
      <c r="C164" s="16" t="s">
        <v>520</v>
      </c>
      <c r="D164" s="17" t="s">
        <v>270</v>
      </c>
      <c r="E164" s="158" t="s">
        <v>459</v>
      </c>
      <c r="F164" s="158" t="s">
        <v>498</v>
      </c>
      <c r="G164" s="19"/>
      <c r="H164" s="20">
        <v>1</v>
      </c>
      <c r="I164" s="21">
        <v>6</v>
      </c>
      <c r="J164" s="21">
        <v>0</v>
      </c>
      <c r="K164" s="21">
        <v>0</v>
      </c>
      <c r="L164" s="21">
        <v>0</v>
      </c>
      <c r="M164" s="21">
        <v>0</v>
      </c>
      <c r="N164" s="21">
        <v>0</v>
      </c>
      <c r="O164" s="21">
        <v>0</v>
      </c>
      <c r="P164" s="21">
        <v>0</v>
      </c>
      <c r="Q164" s="21">
        <v>0</v>
      </c>
      <c r="R164" s="21">
        <v>0</v>
      </c>
      <c r="S164" s="21">
        <v>0</v>
      </c>
      <c r="T164" s="21">
        <v>0</v>
      </c>
      <c r="U164" s="21">
        <v>0</v>
      </c>
      <c r="V164" s="21">
        <v>0</v>
      </c>
      <c r="W164" s="21">
        <v>0</v>
      </c>
      <c r="X164" s="21">
        <v>0</v>
      </c>
      <c r="Y164" s="21">
        <v>0</v>
      </c>
      <c r="Z164" s="21">
        <v>0</v>
      </c>
      <c r="AA164" s="21">
        <v>0</v>
      </c>
      <c r="AB164" s="21">
        <v>0</v>
      </c>
      <c r="AC164" s="21">
        <v>0</v>
      </c>
      <c r="AD164" s="21">
        <v>0</v>
      </c>
      <c r="AE164" s="21">
        <v>0</v>
      </c>
      <c r="AF164" s="21">
        <v>0</v>
      </c>
      <c r="AG164" s="21">
        <v>0</v>
      </c>
      <c r="AH164" s="21">
        <v>0</v>
      </c>
      <c r="AI164" s="21">
        <v>0</v>
      </c>
      <c r="AJ164" s="21">
        <v>0</v>
      </c>
      <c r="AK164" s="21">
        <v>0</v>
      </c>
      <c r="AL164" s="21">
        <v>0</v>
      </c>
      <c r="AM164" s="21">
        <v>0</v>
      </c>
      <c r="AN164" s="21">
        <v>0</v>
      </c>
      <c r="AO164" s="21">
        <v>0</v>
      </c>
      <c r="AP164" s="21">
        <v>0</v>
      </c>
      <c r="AQ164" s="21">
        <v>0</v>
      </c>
      <c r="AR164" s="21">
        <v>0</v>
      </c>
      <c r="AS164" s="21">
        <v>0</v>
      </c>
      <c r="AT164" s="21">
        <v>0</v>
      </c>
      <c r="AU164" s="21">
        <v>0</v>
      </c>
      <c r="AV164" s="21">
        <v>0</v>
      </c>
      <c r="AW164" s="21">
        <v>0</v>
      </c>
      <c r="AX164" s="21">
        <v>0</v>
      </c>
      <c r="AY164" s="21">
        <v>0</v>
      </c>
      <c r="AZ164" s="22">
        <v>0</v>
      </c>
      <c r="BA164" s="22" t="e">
        <f>MAX(#REF!-AZ164,0)</f>
        <v>#REF!</v>
      </c>
      <c r="BB164" s="23" t="e">
        <f>IF(SUMPRODUCT($J$85:BA$85,$J164:BA164)&lt;0.5, "Pending", IF(BA164&lt;0.5, "Complete", "In Progress"))</f>
        <v>#REF!</v>
      </c>
      <c r="BC164" s="22">
        <v>0</v>
      </c>
      <c r="BD164" s="22" t="e">
        <f t="shared" si="18"/>
        <v>#REF!</v>
      </c>
      <c r="BE164" s="23" t="e">
        <f>IF(SUMPRODUCT($J$85:BD$85,$J164:BD164)&lt;0.5, "Pending", IF(BD164&lt;0.5, "Complete", "In Progress"))</f>
        <v>#REF!</v>
      </c>
      <c r="BF164" s="22">
        <v>0</v>
      </c>
      <c r="BG164" s="22" t="e">
        <f t="shared" si="19"/>
        <v>#REF!</v>
      </c>
      <c r="BH164" s="23" t="e">
        <f>IF(SUMPRODUCT($J$85:BG$85,$J164:BG164)&lt;0.5, "Pending", IF(BG164&lt;0.5, "Complete", "In Progress"))</f>
        <v>#REF!</v>
      </c>
      <c r="BI164" s="22">
        <v>0</v>
      </c>
      <c r="BJ164" s="22" t="e">
        <f t="shared" si="20"/>
        <v>#REF!</v>
      </c>
      <c r="BK164" s="23" t="e">
        <f>IF(SUMPRODUCT($J$85:BJ$85,$J164:BJ164)&lt;0.5, "Pending", IF(BJ164&lt;0.5, "Complete", "In Progress"))</f>
        <v>#REF!</v>
      </c>
      <c r="BL164" s="22">
        <v>0</v>
      </c>
      <c r="BM164" s="22" t="e">
        <f t="shared" si="21"/>
        <v>#REF!</v>
      </c>
      <c r="BN164" s="23" t="e">
        <f>IF(SUMPRODUCT($J$85:BM$85,$J164:BM164)&lt;0.5, "Pending", IF(BM164&lt;0.5, "Complete", "In Progress"))</f>
        <v>#REF!</v>
      </c>
      <c r="BO164" s="22">
        <v>0</v>
      </c>
      <c r="BP164" s="22" t="e">
        <f t="shared" si="22"/>
        <v>#REF!</v>
      </c>
      <c r="BQ164" s="23" t="e">
        <f>IF(SUMPRODUCT($J$85:BP$85,$J164:BP164)&lt;0.5, "Pending", IF(BP164&lt;0.5, "Complete", "In Progress"))</f>
        <v>#REF!</v>
      </c>
      <c r="BR164" s="22">
        <v>0</v>
      </c>
      <c r="BS164" s="22" t="e">
        <f t="shared" si="23"/>
        <v>#REF!</v>
      </c>
      <c r="BT164" s="23" t="e">
        <f>IF(SUMPRODUCT($J$85:BS$85,$J164:BS164)&lt;0.5, "Pending", IF(BS164&lt;0.5, "Complete", "In Progress"))</f>
        <v>#REF!</v>
      </c>
      <c r="BU164" s="22">
        <v>0</v>
      </c>
      <c r="BV164" s="22" t="e">
        <f t="shared" si="24"/>
        <v>#REF!</v>
      </c>
      <c r="BW164" s="23" t="e">
        <f>IF(SUMPRODUCT($J$85:BV$85,$J164:BV164)&lt;0.5, "Pending", IF(BV164&lt;0.5, "Complete", "In Progress"))</f>
        <v>#REF!</v>
      </c>
      <c r="BX164" s="22">
        <v>0</v>
      </c>
      <c r="BY164" s="22" t="e">
        <f t="shared" si="25"/>
        <v>#REF!</v>
      </c>
      <c r="BZ164" s="23" t="e">
        <f>IF(SUMPRODUCT($J$85:BY$85,$J164:BY164)&lt;0.5, "Pending", IF(BY164&lt;0.5, "Complete", "In Progress"))</f>
        <v>#REF!</v>
      </c>
      <c r="CA164" s="22">
        <v>0</v>
      </c>
      <c r="CB164" s="22" t="e">
        <f t="shared" si="26"/>
        <v>#REF!</v>
      </c>
      <c r="CC164" s="23" t="e">
        <f>IF(SUMPRODUCT($J$85:CB$85,$J164:CB164)&lt;0.5, "Pending", IF(CB164&lt;0.5, "Complete", "In Progress"))</f>
        <v>#REF!</v>
      </c>
      <c r="CD164" s="24"/>
      <c r="CE164" s="25">
        <f>SUMPRODUCT($H$85:AY$85,$H164:AY164)</f>
        <v>43</v>
      </c>
    </row>
    <row r="165" spans="1:83" ht="13.8" customHeight="1" x14ac:dyDescent="0.25">
      <c r="A165" s="16" t="s">
        <v>104</v>
      </c>
      <c r="B165" s="16" t="s">
        <v>121</v>
      </c>
      <c r="C165" s="16" t="s">
        <v>520</v>
      </c>
      <c r="D165" s="17" t="s">
        <v>271</v>
      </c>
      <c r="E165" s="158" t="s">
        <v>460</v>
      </c>
      <c r="F165" s="158" t="s">
        <v>496</v>
      </c>
      <c r="G165" s="19"/>
      <c r="H165" s="20">
        <v>1</v>
      </c>
      <c r="I165" s="21">
        <v>6</v>
      </c>
      <c r="J165" s="21">
        <v>0</v>
      </c>
      <c r="K165" s="21">
        <v>0</v>
      </c>
      <c r="L165" s="21">
        <v>0</v>
      </c>
      <c r="M165" s="21">
        <v>0</v>
      </c>
      <c r="N165" s="21">
        <v>0</v>
      </c>
      <c r="O165" s="21">
        <v>0</v>
      </c>
      <c r="P165" s="21">
        <v>0</v>
      </c>
      <c r="Q165" s="21">
        <v>0</v>
      </c>
      <c r="R165" s="21">
        <v>0</v>
      </c>
      <c r="S165" s="21">
        <v>0</v>
      </c>
      <c r="T165" s="21">
        <v>0</v>
      </c>
      <c r="U165" s="21">
        <v>0</v>
      </c>
      <c r="V165" s="21">
        <v>0</v>
      </c>
      <c r="W165" s="21">
        <v>0</v>
      </c>
      <c r="X165" s="21">
        <v>0</v>
      </c>
      <c r="Y165" s="21">
        <v>0</v>
      </c>
      <c r="Z165" s="21">
        <v>0</v>
      </c>
      <c r="AA165" s="21">
        <v>0</v>
      </c>
      <c r="AB165" s="21">
        <v>0</v>
      </c>
      <c r="AC165" s="21">
        <v>0</v>
      </c>
      <c r="AD165" s="21">
        <v>0</v>
      </c>
      <c r="AE165" s="21">
        <v>0</v>
      </c>
      <c r="AF165" s="21">
        <v>0</v>
      </c>
      <c r="AG165" s="21">
        <v>0</v>
      </c>
      <c r="AH165" s="21">
        <v>0</v>
      </c>
      <c r="AI165" s="21">
        <v>0</v>
      </c>
      <c r="AJ165" s="21">
        <v>0</v>
      </c>
      <c r="AK165" s="21">
        <v>0</v>
      </c>
      <c r="AL165" s="21">
        <v>0</v>
      </c>
      <c r="AM165" s="21">
        <v>0</v>
      </c>
      <c r="AN165" s="21">
        <v>0</v>
      </c>
      <c r="AO165" s="21">
        <v>0</v>
      </c>
      <c r="AP165" s="21">
        <v>0</v>
      </c>
      <c r="AQ165" s="21">
        <v>0</v>
      </c>
      <c r="AR165" s="21">
        <v>0</v>
      </c>
      <c r="AS165" s="21">
        <v>0</v>
      </c>
      <c r="AT165" s="21">
        <v>0</v>
      </c>
      <c r="AU165" s="21">
        <v>0</v>
      </c>
      <c r="AV165" s="21">
        <v>0</v>
      </c>
      <c r="AW165" s="21">
        <v>0</v>
      </c>
      <c r="AX165" s="21">
        <v>0</v>
      </c>
      <c r="AY165" s="21">
        <v>0</v>
      </c>
      <c r="AZ165" s="22">
        <v>0</v>
      </c>
      <c r="BA165" s="22" t="e">
        <f>MAX(#REF!-AZ165,0)</f>
        <v>#REF!</v>
      </c>
      <c r="BB165" s="23" t="e">
        <f>IF(SUMPRODUCT($J$85:BA$85,$J165:BA165)&lt;0.5, "Pending", IF(BA165&lt;0.5, "Complete", "In Progress"))</f>
        <v>#REF!</v>
      </c>
      <c r="BC165" s="22">
        <v>0</v>
      </c>
      <c r="BD165" s="22" t="e">
        <f t="shared" si="18"/>
        <v>#REF!</v>
      </c>
      <c r="BE165" s="23" t="e">
        <f>IF(SUMPRODUCT($J$85:BD$85,$J165:BD165)&lt;0.5, "Pending", IF(BD165&lt;0.5, "Complete", "In Progress"))</f>
        <v>#REF!</v>
      </c>
      <c r="BF165" s="22">
        <v>0</v>
      </c>
      <c r="BG165" s="22" t="e">
        <f t="shared" si="19"/>
        <v>#REF!</v>
      </c>
      <c r="BH165" s="23" t="e">
        <f>IF(SUMPRODUCT($J$85:BG$85,$J165:BG165)&lt;0.5, "Pending", IF(BG165&lt;0.5, "Complete", "In Progress"))</f>
        <v>#REF!</v>
      </c>
      <c r="BI165" s="22">
        <v>0</v>
      </c>
      <c r="BJ165" s="22" t="e">
        <f t="shared" si="20"/>
        <v>#REF!</v>
      </c>
      <c r="BK165" s="23" t="e">
        <f>IF(SUMPRODUCT($J$85:BJ$85,$J165:BJ165)&lt;0.5, "Pending", IF(BJ165&lt;0.5, "Complete", "In Progress"))</f>
        <v>#REF!</v>
      </c>
      <c r="BL165" s="22">
        <v>0</v>
      </c>
      <c r="BM165" s="22" t="e">
        <f t="shared" si="21"/>
        <v>#REF!</v>
      </c>
      <c r="BN165" s="23" t="e">
        <f>IF(SUMPRODUCT($J$85:BM$85,$J165:BM165)&lt;0.5, "Pending", IF(BM165&lt;0.5, "Complete", "In Progress"))</f>
        <v>#REF!</v>
      </c>
      <c r="BO165" s="22">
        <v>0</v>
      </c>
      <c r="BP165" s="22" t="e">
        <f t="shared" si="22"/>
        <v>#REF!</v>
      </c>
      <c r="BQ165" s="23" t="e">
        <f>IF(SUMPRODUCT($J$85:BP$85,$J165:BP165)&lt;0.5, "Pending", IF(BP165&lt;0.5, "Complete", "In Progress"))</f>
        <v>#REF!</v>
      </c>
      <c r="BR165" s="22">
        <v>0</v>
      </c>
      <c r="BS165" s="22" t="e">
        <f t="shared" si="23"/>
        <v>#REF!</v>
      </c>
      <c r="BT165" s="23" t="e">
        <f>IF(SUMPRODUCT($J$85:BS$85,$J165:BS165)&lt;0.5, "Pending", IF(BS165&lt;0.5, "Complete", "In Progress"))</f>
        <v>#REF!</v>
      </c>
      <c r="BU165" s="22">
        <v>0</v>
      </c>
      <c r="BV165" s="22" t="e">
        <f t="shared" si="24"/>
        <v>#REF!</v>
      </c>
      <c r="BW165" s="23" t="e">
        <f>IF(SUMPRODUCT($J$85:BV$85,$J165:BV165)&lt;0.5, "Pending", IF(BV165&lt;0.5, "Complete", "In Progress"))</f>
        <v>#REF!</v>
      </c>
      <c r="BX165" s="22">
        <v>0</v>
      </c>
      <c r="BY165" s="22" t="e">
        <f t="shared" si="25"/>
        <v>#REF!</v>
      </c>
      <c r="BZ165" s="23" t="e">
        <f>IF(SUMPRODUCT($J$85:BY$85,$J165:BY165)&lt;0.5, "Pending", IF(BY165&lt;0.5, "Complete", "In Progress"))</f>
        <v>#REF!</v>
      </c>
      <c r="CA165" s="22">
        <v>0</v>
      </c>
      <c r="CB165" s="22" t="e">
        <f t="shared" si="26"/>
        <v>#REF!</v>
      </c>
      <c r="CC165" s="23" t="e">
        <f>IF(SUMPRODUCT($J$85:CB$85,$J165:CB165)&lt;0.5, "Pending", IF(CB165&lt;0.5, "Complete", "In Progress"))</f>
        <v>#REF!</v>
      </c>
      <c r="CD165" s="24"/>
      <c r="CE165" s="25">
        <f>SUMPRODUCT($H$85:AY$85,$H165:AY165)</f>
        <v>43</v>
      </c>
    </row>
    <row r="166" spans="1:83" ht="13.8" customHeight="1" x14ac:dyDescent="0.25">
      <c r="A166" s="16" t="s">
        <v>104</v>
      </c>
      <c r="B166" s="16" t="s">
        <v>121</v>
      </c>
      <c r="C166" s="16" t="s">
        <v>520</v>
      </c>
      <c r="D166" s="17" t="s">
        <v>272</v>
      </c>
      <c r="E166" s="158" t="s">
        <v>461</v>
      </c>
      <c r="F166" s="158" t="s">
        <v>495</v>
      </c>
      <c r="G166" s="169"/>
      <c r="H166" s="20">
        <v>1</v>
      </c>
      <c r="I166" s="21">
        <v>6</v>
      </c>
      <c r="J166" s="21">
        <v>0</v>
      </c>
      <c r="K166" s="21">
        <v>0</v>
      </c>
      <c r="L166" s="21">
        <v>0</v>
      </c>
      <c r="M166" s="21">
        <v>0</v>
      </c>
      <c r="N166" s="21">
        <v>0</v>
      </c>
      <c r="O166" s="21">
        <v>0</v>
      </c>
      <c r="P166" s="21">
        <v>0</v>
      </c>
      <c r="Q166" s="21">
        <v>0</v>
      </c>
      <c r="R166" s="21">
        <v>0</v>
      </c>
      <c r="S166" s="21">
        <v>0</v>
      </c>
      <c r="T166" s="21">
        <v>0</v>
      </c>
      <c r="U166" s="21">
        <v>0</v>
      </c>
      <c r="V166" s="21">
        <v>0</v>
      </c>
      <c r="W166" s="21">
        <v>0</v>
      </c>
      <c r="X166" s="21">
        <v>0</v>
      </c>
      <c r="Y166" s="21">
        <v>0</v>
      </c>
      <c r="Z166" s="21">
        <v>0</v>
      </c>
      <c r="AA166" s="21">
        <v>0</v>
      </c>
      <c r="AB166" s="21">
        <v>0</v>
      </c>
      <c r="AC166" s="21">
        <v>0</v>
      </c>
      <c r="AD166" s="21">
        <v>0</v>
      </c>
      <c r="AE166" s="21">
        <v>0</v>
      </c>
      <c r="AF166" s="21">
        <v>0</v>
      </c>
      <c r="AG166" s="21">
        <v>0</v>
      </c>
      <c r="AH166" s="21">
        <v>0</v>
      </c>
      <c r="AI166" s="21">
        <v>0</v>
      </c>
      <c r="AJ166" s="21">
        <v>0</v>
      </c>
      <c r="AK166" s="21">
        <v>0</v>
      </c>
      <c r="AL166" s="21">
        <v>0</v>
      </c>
      <c r="AM166" s="21">
        <v>0</v>
      </c>
      <c r="AN166" s="21">
        <v>0</v>
      </c>
      <c r="AO166" s="21">
        <v>0</v>
      </c>
      <c r="AP166" s="21">
        <v>0</v>
      </c>
      <c r="AQ166" s="21">
        <v>0</v>
      </c>
      <c r="AR166" s="21">
        <v>0</v>
      </c>
      <c r="AS166" s="21">
        <v>0</v>
      </c>
      <c r="AT166" s="21">
        <v>0</v>
      </c>
      <c r="AU166" s="21">
        <v>0</v>
      </c>
      <c r="AV166" s="21">
        <v>0</v>
      </c>
      <c r="AW166" s="21">
        <v>0</v>
      </c>
      <c r="AX166" s="21">
        <v>0</v>
      </c>
      <c r="AY166" s="21">
        <v>0</v>
      </c>
      <c r="AZ166" s="22">
        <v>0</v>
      </c>
      <c r="BA166" s="22" t="e">
        <f>MAX(#REF!-AZ166,0)</f>
        <v>#REF!</v>
      </c>
      <c r="BB166" s="23" t="e">
        <f>IF(SUMPRODUCT($J$85:BA$85,$J166:BA166)&lt;0.5, "Pending", IF(BA166&lt;0.5, "Complete", "In Progress"))</f>
        <v>#REF!</v>
      </c>
      <c r="BC166" s="22">
        <v>0</v>
      </c>
      <c r="BD166" s="22" t="e">
        <f t="shared" si="18"/>
        <v>#REF!</v>
      </c>
      <c r="BE166" s="23" t="e">
        <f>IF(SUMPRODUCT($J$85:BD$85,$J166:BD166)&lt;0.5, "Pending", IF(BD166&lt;0.5, "Complete", "In Progress"))</f>
        <v>#REF!</v>
      </c>
      <c r="BF166" s="22">
        <v>0</v>
      </c>
      <c r="BG166" s="22" t="e">
        <f t="shared" si="19"/>
        <v>#REF!</v>
      </c>
      <c r="BH166" s="23" t="e">
        <f>IF(SUMPRODUCT($J$85:BG$85,$J166:BG166)&lt;0.5, "Pending", IF(BG166&lt;0.5, "Complete", "In Progress"))</f>
        <v>#REF!</v>
      </c>
      <c r="BI166" s="22">
        <v>0</v>
      </c>
      <c r="BJ166" s="22" t="e">
        <f t="shared" si="20"/>
        <v>#REF!</v>
      </c>
      <c r="BK166" s="23" t="e">
        <f>IF(SUMPRODUCT($J$85:BJ$85,$J166:BJ166)&lt;0.5, "Pending", IF(BJ166&lt;0.5, "Complete", "In Progress"))</f>
        <v>#REF!</v>
      </c>
      <c r="BL166" s="22">
        <v>0</v>
      </c>
      <c r="BM166" s="22" t="e">
        <f t="shared" si="21"/>
        <v>#REF!</v>
      </c>
      <c r="BN166" s="23" t="e">
        <f>IF(SUMPRODUCT($J$85:BM$85,$J166:BM166)&lt;0.5, "Pending", IF(BM166&lt;0.5, "Complete", "In Progress"))</f>
        <v>#REF!</v>
      </c>
      <c r="BO166" s="22">
        <v>0</v>
      </c>
      <c r="BP166" s="22" t="e">
        <f t="shared" si="22"/>
        <v>#REF!</v>
      </c>
      <c r="BQ166" s="23" t="e">
        <f>IF(SUMPRODUCT($J$85:BP$85,$J166:BP166)&lt;0.5, "Pending", IF(BP166&lt;0.5, "Complete", "In Progress"))</f>
        <v>#REF!</v>
      </c>
      <c r="BR166" s="22">
        <v>0</v>
      </c>
      <c r="BS166" s="22" t="e">
        <f t="shared" si="23"/>
        <v>#REF!</v>
      </c>
      <c r="BT166" s="23" t="e">
        <f>IF(SUMPRODUCT($J$85:BS$85,$J166:BS166)&lt;0.5, "Pending", IF(BS166&lt;0.5, "Complete", "In Progress"))</f>
        <v>#REF!</v>
      </c>
      <c r="BU166" s="22">
        <v>0</v>
      </c>
      <c r="BV166" s="22" t="e">
        <f t="shared" si="24"/>
        <v>#REF!</v>
      </c>
      <c r="BW166" s="23" t="e">
        <f>IF(SUMPRODUCT($J$85:BV$85,$J166:BV166)&lt;0.5, "Pending", IF(BV166&lt;0.5, "Complete", "In Progress"))</f>
        <v>#REF!</v>
      </c>
      <c r="BX166" s="22">
        <v>0</v>
      </c>
      <c r="BY166" s="22" t="e">
        <f t="shared" si="25"/>
        <v>#REF!</v>
      </c>
      <c r="BZ166" s="23" t="e">
        <f>IF(SUMPRODUCT($J$85:BY$85,$J166:BY166)&lt;0.5, "Pending", IF(BY166&lt;0.5, "Complete", "In Progress"))</f>
        <v>#REF!</v>
      </c>
      <c r="CA166" s="22">
        <v>0</v>
      </c>
      <c r="CB166" s="22" t="e">
        <f t="shared" si="26"/>
        <v>#REF!</v>
      </c>
      <c r="CC166" s="23" t="e">
        <f>IF(SUMPRODUCT($J$85:CB$85,$J166:CB166)&lt;0.5, "Pending", IF(CB166&lt;0.5, "Complete", "In Progress"))</f>
        <v>#REF!</v>
      </c>
      <c r="CD166" s="24"/>
      <c r="CE166" s="25">
        <f>SUMPRODUCT($H$85:AY$85,$H166:AY166)</f>
        <v>43</v>
      </c>
    </row>
    <row r="167" spans="1:83" ht="13.8" customHeight="1" x14ac:dyDescent="0.25">
      <c r="A167" s="16" t="s">
        <v>104</v>
      </c>
      <c r="B167" s="16" t="s">
        <v>121</v>
      </c>
      <c r="C167" s="16" t="s">
        <v>520</v>
      </c>
      <c r="D167" s="17" t="s">
        <v>273</v>
      </c>
      <c r="E167" s="158" t="s">
        <v>462</v>
      </c>
      <c r="F167" s="158" t="s">
        <v>493</v>
      </c>
      <c r="G167" s="168"/>
      <c r="H167" s="20">
        <v>1</v>
      </c>
      <c r="I167" s="21">
        <v>56</v>
      </c>
      <c r="J167" s="21">
        <v>0</v>
      </c>
      <c r="K167" s="21">
        <v>0</v>
      </c>
      <c r="L167" s="21">
        <v>0</v>
      </c>
      <c r="M167" s="21">
        <v>0</v>
      </c>
      <c r="N167" s="21">
        <v>0</v>
      </c>
      <c r="O167" s="21">
        <v>0</v>
      </c>
      <c r="P167" s="21">
        <v>0</v>
      </c>
      <c r="Q167" s="21">
        <v>0</v>
      </c>
      <c r="R167" s="21">
        <v>0</v>
      </c>
      <c r="S167" s="21">
        <v>0</v>
      </c>
      <c r="T167" s="21">
        <v>0</v>
      </c>
      <c r="U167" s="21">
        <v>0</v>
      </c>
      <c r="V167" s="21">
        <v>0</v>
      </c>
      <c r="W167" s="21">
        <v>0</v>
      </c>
      <c r="X167" s="21">
        <v>0</v>
      </c>
      <c r="Y167" s="21">
        <v>0</v>
      </c>
      <c r="Z167" s="21">
        <v>0</v>
      </c>
      <c r="AA167" s="21">
        <v>0</v>
      </c>
      <c r="AB167" s="21">
        <v>0</v>
      </c>
      <c r="AC167" s="21">
        <v>0</v>
      </c>
      <c r="AD167" s="21">
        <v>0</v>
      </c>
      <c r="AE167" s="21">
        <v>0</v>
      </c>
      <c r="AF167" s="21">
        <v>0</v>
      </c>
      <c r="AG167" s="21">
        <v>0</v>
      </c>
      <c r="AH167" s="21">
        <v>0</v>
      </c>
      <c r="AI167" s="21">
        <v>0</v>
      </c>
      <c r="AJ167" s="21">
        <v>0</v>
      </c>
      <c r="AK167" s="21">
        <v>0</v>
      </c>
      <c r="AL167" s="21">
        <v>0</v>
      </c>
      <c r="AM167" s="21">
        <v>0</v>
      </c>
      <c r="AN167" s="21">
        <v>0</v>
      </c>
      <c r="AO167" s="21">
        <v>0</v>
      </c>
      <c r="AP167" s="21">
        <v>0</v>
      </c>
      <c r="AQ167" s="21">
        <v>0</v>
      </c>
      <c r="AR167" s="21">
        <v>0</v>
      </c>
      <c r="AS167" s="21">
        <v>0</v>
      </c>
      <c r="AT167" s="21">
        <v>0</v>
      </c>
      <c r="AU167" s="21">
        <v>0</v>
      </c>
      <c r="AV167" s="21">
        <v>0</v>
      </c>
      <c r="AW167" s="21">
        <v>0</v>
      </c>
      <c r="AX167" s="21">
        <v>0</v>
      </c>
      <c r="AY167" s="21">
        <v>0</v>
      </c>
      <c r="AZ167" s="22">
        <v>0</v>
      </c>
      <c r="BA167" s="22" t="e">
        <f>MAX(#REF!-AZ167,0)</f>
        <v>#REF!</v>
      </c>
      <c r="BB167" s="23" t="e">
        <f>IF(SUMPRODUCT($J$85:BA$85,$J167:BA167)&lt;0.5, "Pending", IF(BA167&lt;0.5, "Complete", "In Progress"))</f>
        <v>#REF!</v>
      </c>
      <c r="BC167" s="22">
        <v>0</v>
      </c>
      <c r="BD167" s="22" t="e">
        <f t="shared" si="18"/>
        <v>#REF!</v>
      </c>
      <c r="BE167" s="23" t="e">
        <f>IF(SUMPRODUCT($J$85:BD$85,$J167:BD167)&lt;0.5, "Pending", IF(BD167&lt;0.5, "Complete", "In Progress"))</f>
        <v>#REF!</v>
      </c>
      <c r="BF167" s="22">
        <v>0</v>
      </c>
      <c r="BG167" s="22" t="e">
        <f t="shared" si="19"/>
        <v>#REF!</v>
      </c>
      <c r="BH167" s="23" t="e">
        <f>IF(SUMPRODUCT($J$85:BG$85,$J167:BG167)&lt;0.5, "Pending", IF(BG167&lt;0.5, "Complete", "In Progress"))</f>
        <v>#REF!</v>
      </c>
      <c r="BI167" s="22">
        <v>0</v>
      </c>
      <c r="BJ167" s="22" t="e">
        <f t="shared" si="20"/>
        <v>#REF!</v>
      </c>
      <c r="BK167" s="23" t="e">
        <f>IF(SUMPRODUCT($J$85:BJ$85,$J167:BJ167)&lt;0.5, "Pending", IF(BJ167&lt;0.5, "Complete", "In Progress"))</f>
        <v>#REF!</v>
      </c>
      <c r="BL167" s="22">
        <v>0</v>
      </c>
      <c r="BM167" s="22" t="e">
        <f t="shared" si="21"/>
        <v>#REF!</v>
      </c>
      <c r="BN167" s="23" t="e">
        <f>IF(SUMPRODUCT($J$85:BM$85,$J167:BM167)&lt;0.5, "Pending", IF(BM167&lt;0.5, "Complete", "In Progress"))</f>
        <v>#REF!</v>
      </c>
      <c r="BO167" s="22">
        <v>0</v>
      </c>
      <c r="BP167" s="22" t="e">
        <f t="shared" si="22"/>
        <v>#REF!</v>
      </c>
      <c r="BQ167" s="23" t="e">
        <f>IF(SUMPRODUCT($J$85:BP$85,$J167:BP167)&lt;0.5, "Pending", IF(BP167&lt;0.5, "Complete", "In Progress"))</f>
        <v>#REF!</v>
      </c>
      <c r="BR167" s="22">
        <v>0</v>
      </c>
      <c r="BS167" s="22" t="e">
        <f t="shared" si="23"/>
        <v>#REF!</v>
      </c>
      <c r="BT167" s="23" t="e">
        <f>IF(SUMPRODUCT($J$85:BS$85,$J167:BS167)&lt;0.5, "Pending", IF(BS167&lt;0.5, "Complete", "In Progress"))</f>
        <v>#REF!</v>
      </c>
      <c r="BU167" s="22">
        <v>0</v>
      </c>
      <c r="BV167" s="22" t="e">
        <f t="shared" si="24"/>
        <v>#REF!</v>
      </c>
      <c r="BW167" s="23" t="e">
        <f>IF(SUMPRODUCT($J$85:BV$85,$J167:BV167)&lt;0.5, "Pending", IF(BV167&lt;0.5, "Complete", "In Progress"))</f>
        <v>#REF!</v>
      </c>
      <c r="BX167" s="22">
        <v>0</v>
      </c>
      <c r="BY167" s="22" t="e">
        <f t="shared" si="25"/>
        <v>#REF!</v>
      </c>
      <c r="BZ167" s="23" t="e">
        <f>IF(SUMPRODUCT($J$85:BY$85,$J167:BY167)&lt;0.5, "Pending", IF(BY167&lt;0.5, "Complete", "In Progress"))</f>
        <v>#REF!</v>
      </c>
      <c r="CA167" s="22">
        <v>0</v>
      </c>
      <c r="CB167" s="22" t="e">
        <f t="shared" si="26"/>
        <v>#REF!</v>
      </c>
      <c r="CC167" s="23" t="e">
        <f>IF(SUMPRODUCT($J$85:CB$85,$J167:CB167)&lt;0.5, "Pending", IF(CB167&lt;0.5, "Complete", "In Progress"))</f>
        <v>#REF!</v>
      </c>
      <c r="CD167" s="24"/>
      <c r="CE167" s="25">
        <f>SUMPRODUCT($H$85:AY$85,$H167:AY167)</f>
        <v>393</v>
      </c>
    </row>
    <row r="168" spans="1:83" ht="13.8" customHeight="1" x14ac:dyDescent="0.25">
      <c r="A168" s="16" t="s">
        <v>103</v>
      </c>
      <c r="B168" s="16" t="s">
        <v>110</v>
      </c>
      <c r="C168" s="16" t="s">
        <v>520</v>
      </c>
      <c r="D168" s="17" t="s">
        <v>274</v>
      </c>
      <c r="E168" s="158" t="s">
        <v>463</v>
      </c>
      <c r="F168" s="158" t="s">
        <v>494</v>
      </c>
      <c r="G168" s="19"/>
      <c r="H168" s="20">
        <v>1</v>
      </c>
      <c r="I168" s="21">
        <v>6</v>
      </c>
      <c r="J168" s="21">
        <v>0</v>
      </c>
      <c r="K168" s="21">
        <v>0</v>
      </c>
      <c r="L168" s="21">
        <v>0</v>
      </c>
      <c r="M168" s="21">
        <v>0</v>
      </c>
      <c r="N168" s="21">
        <v>0</v>
      </c>
      <c r="O168" s="21">
        <v>0</v>
      </c>
      <c r="P168" s="21">
        <v>0</v>
      </c>
      <c r="Q168" s="21">
        <v>0</v>
      </c>
      <c r="R168" s="21">
        <v>0</v>
      </c>
      <c r="S168" s="21">
        <v>0</v>
      </c>
      <c r="T168" s="21">
        <v>0</v>
      </c>
      <c r="U168" s="21">
        <v>0</v>
      </c>
      <c r="V168" s="21">
        <v>0</v>
      </c>
      <c r="W168" s="21">
        <v>0</v>
      </c>
      <c r="X168" s="21">
        <v>0</v>
      </c>
      <c r="Y168" s="21">
        <v>0</v>
      </c>
      <c r="Z168" s="21">
        <v>0</v>
      </c>
      <c r="AA168" s="21">
        <v>0</v>
      </c>
      <c r="AB168" s="21">
        <v>0</v>
      </c>
      <c r="AC168" s="21">
        <v>0</v>
      </c>
      <c r="AD168" s="21">
        <v>0</v>
      </c>
      <c r="AE168" s="21">
        <v>0</v>
      </c>
      <c r="AF168" s="21">
        <v>0</v>
      </c>
      <c r="AG168" s="21">
        <v>0</v>
      </c>
      <c r="AH168" s="21">
        <v>0</v>
      </c>
      <c r="AI168" s="21">
        <v>0</v>
      </c>
      <c r="AJ168" s="21">
        <v>0</v>
      </c>
      <c r="AK168" s="21">
        <v>0</v>
      </c>
      <c r="AL168" s="21">
        <v>0</v>
      </c>
      <c r="AM168" s="21">
        <v>0</v>
      </c>
      <c r="AN168" s="21">
        <v>0</v>
      </c>
      <c r="AO168" s="21">
        <v>0</v>
      </c>
      <c r="AP168" s="21">
        <v>0</v>
      </c>
      <c r="AQ168" s="21">
        <v>0</v>
      </c>
      <c r="AR168" s="21">
        <v>0</v>
      </c>
      <c r="AS168" s="21">
        <v>0</v>
      </c>
      <c r="AT168" s="21">
        <v>0</v>
      </c>
      <c r="AU168" s="21">
        <v>0</v>
      </c>
      <c r="AV168" s="21">
        <v>0</v>
      </c>
      <c r="AW168" s="21">
        <v>0</v>
      </c>
      <c r="AX168" s="21">
        <v>0</v>
      </c>
      <c r="AY168" s="21">
        <v>0</v>
      </c>
      <c r="AZ168" s="22">
        <v>0</v>
      </c>
      <c r="BA168" s="22" t="e">
        <f>MAX(#REF!-AZ168,0)</f>
        <v>#REF!</v>
      </c>
      <c r="BB168" s="23" t="e">
        <f>IF(SUMPRODUCT($J$85:BA$85,$J168:BA168)&lt;0.5, "Pending", IF(BA168&lt;0.5, "Complete", "In Progress"))</f>
        <v>#REF!</v>
      </c>
      <c r="BC168" s="22">
        <v>0</v>
      </c>
      <c r="BD168" s="22" t="e">
        <f t="shared" si="18"/>
        <v>#REF!</v>
      </c>
      <c r="BE168" s="23" t="e">
        <f>IF(SUMPRODUCT($J$85:BD$85,$J168:BD168)&lt;0.5, "Pending", IF(BD168&lt;0.5, "Complete", "In Progress"))</f>
        <v>#REF!</v>
      </c>
      <c r="BF168" s="22">
        <v>0</v>
      </c>
      <c r="BG168" s="22" t="e">
        <f t="shared" si="19"/>
        <v>#REF!</v>
      </c>
      <c r="BH168" s="23" t="e">
        <f>IF(SUMPRODUCT($J$85:BG$85,$J168:BG168)&lt;0.5, "Pending", IF(BG168&lt;0.5, "Complete", "In Progress"))</f>
        <v>#REF!</v>
      </c>
      <c r="BI168" s="22">
        <v>0</v>
      </c>
      <c r="BJ168" s="22" t="e">
        <f t="shared" si="20"/>
        <v>#REF!</v>
      </c>
      <c r="BK168" s="23" t="e">
        <f>IF(SUMPRODUCT($J$85:BJ$85,$J168:BJ168)&lt;0.5, "Pending", IF(BJ168&lt;0.5, "Complete", "In Progress"))</f>
        <v>#REF!</v>
      </c>
      <c r="BL168" s="22">
        <v>0</v>
      </c>
      <c r="BM168" s="22" t="e">
        <f t="shared" si="21"/>
        <v>#REF!</v>
      </c>
      <c r="BN168" s="23" t="e">
        <f>IF(SUMPRODUCT($J$85:BM$85,$J168:BM168)&lt;0.5, "Pending", IF(BM168&lt;0.5, "Complete", "In Progress"))</f>
        <v>#REF!</v>
      </c>
      <c r="BO168" s="22">
        <v>0</v>
      </c>
      <c r="BP168" s="22" t="e">
        <f t="shared" si="22"/>
        <v>#REF!</v>
      </c>
      <c r="BQ168" s="23" t="e">
        <f>IF(SUMPRODUCT($J$85:BP$85,$J168:BP168)&lt;0.5, "Pending", IF(BP168&lt;0.5, "Complete", "In Progress"))</f>
        <v>#REF!</v>
      </c>
      <c r="BR168" s="22">
        <v>0</v>
      </c>
      <c r="BS168" s="22" t="e">
        <f t="shared" si="23"/>
        <v>#REF!</v>
      </c>
      <c r="BT168" s="23" t="e">
        <f>IF(SUMPRODUCT($J$85:BS$85,$J168:BS168)&lt;0.5, "Pending", IF(BS168&lt;0.5, "Complete", "In Progress"))</f>
        <v>#REF!</v>
      </c>
      <c r="BU168" s="22">
        <v>0</v>
      </c>
      <c r="BV168" s="22" t="e">
        <f t="shared" si="24"/>
        <v>#REF!</v>
      </c>
      <c r="BW168" s="23" t="e">
        <f>IF(SUMPRODUCT($J$85:BV$85,$J168:BV168)&lt;0.5, "Pending", IF(BV168&lt;0.5, "Complete", "In Progress"))</f>
        <v>#REF!</v>
      </c>
      <c r="BX168" s="22">
        <v>0</v>
      </c>
      <c r="BY168" s="22" t="e">
        <f t="shared" si="25"/>
        <v>#REF!</v>
      </c>
      <c r="BZ168" s="23" t="e">
        <f>IF(SUMPRODUCT($J$85:BY$85,$J168:BY168)&lt;0.5, "Pending", IF(BY168&lt;0.5, "Complete", "In Progress"))</f>
        <v>#REF!</v>
      </c>
      <c r="CA168" s="22">
        <v>0</v>
      </c>
      <c r="CB168" s="22" t="e">
        <f t="shared" si="26"/>
        <v>#REF!</v>
      </c>
      <c r="CC168" s="23" t="e">
        <f>IF(SUMPRODUCT($J$85:CB$85,$J168:CB168)&lt;0.5, "Pending", IF(CB168&lt;0.5, "Complete", "In Progress"))</f>
        <v>#REF!</v>
      </c>
      <c r="CD168" s="24"/>
      <c r="CE168" s="25">
        <f>SUMPRODUCT($H$85:AY$85,$H168:AY168)</f>
        <v>43</v>
      </c>
    </row>
    <row r="169" spans="1:83" ht="13.8" customHeight="1" x14ac:dyDescent="0.25">
      <c r="A169" s="16" t="s">
        <v>103</v>
      </c>
      <c r="B169" s="16" t="s">
        <v>110</v>
      </c>
      <c r="C169" s="16" t="s">
        <v>521</v>
      </c>
      <c r="D169" s="17">
        <v>11</v>
      </c>
      <c r="E169" s="158" t="s">
        <v>464</v>
      </c>
      <c r="F169" s="158" t="s">
        <v>497</v>
      </c>
      <c r="G169" s="19"/>
      <c r="H169" s="20">
        <v>1</v>
      </c>
      <c r="I169" s="21">
        <v>6</v>
      </c>
      <c r="J169" s="21">
        <v>0</v>
      </c>
      <c r="K169" s="21">
        <v>0</v>
      </c>
      <c r="L169" s="21">
        <v>0</v>
      </c>
      <c r="M169" s="21">
        <v>0</v>
      </c>
      <c r="N169" s="21">
        <v>0</v>
      </c>
      <c r="O169" s="21">
        <v>0</v>
      </c>
      <c r="P169" s="21">
        <v>0</v>
      </c>
      <c r="Q169" s="21">
        <v>0</v>
      </c>
      <c r="R169" s="21">
        <v>0</v>
      </c>
      <c r="S169" s="21">
        <v>0</v>
      </c>
      <c r="T169" s="21">
        <v>0</v>
      </c>
      <c r="U169" s="21">
        <v>0</v>
      </c>
      <c r="V169" s="21">
        <v>0</v>
      </c>
      <c r="W169" s="21">
        <v>0</v>
      </c>
      <c r="X169" s="21">
        <v>0</v>
      </c>
      <c r="Y169" s="21">
        <v>0</v>
      </c>
      <c r="Z169" s="21">
        <v>0</v>
      </c>
      <c r="AA169" s="21">
        <v>0</v>
      </c>
      <c r="AB169" s="21">
        <v>0</v>
      </c>
      <c r="AC169" s="21">
        <v>0</v>
      </c>
      <c r="AD169" s="21">
        <v>0</v>
      </c>
      <c r="AE169" s="21">
        <v>0</v>
      </c>
      <c r="AF169" s="21">
        <v>0</v>
      </c>
      <c r="AG169" s="21">
        <v>0</v>
      </c>
      <c r="AH169" s="21">
        <v>0</v>
      </c>
      <c r="AI169" s="21">
        <v>0</v>
      </c>
      <c r="AJ169" s="21">
        <v>0</v>
      </c>
      <c r="AK169" s="21">
        <v>0</v>
      </c>
      <c r="AL169" s="21">
        <v>0</v>
      </c>
      <c r="AM169" s="21">
        <v>0</v>
      </c>
      <c r="AN169" s="21">
        <v>0</v>
      </c>
      <c r="AO169" s="21">
        <v>0</v>
      </c>
      <c r="AP169" s="21">
        <v>0</v>
      </c>
      <c r="AQ169" s="21">
        <v>0</v>
      </c>
      <c r="AR169" s="21">
        <v>0</v>
      </c>
      <c r="AS169" s="21">
        <v>0</v>
      </c>
      <c r="AT169" s="21">
        <v>0</v>
      </c>
      <c r="AU169" s="21">
        <v>0</v>
      </c>
      <c r="AV169" s="21">
        <v>0</v>
      </c>
      <c r="AW169" s="21">
        <v>0</v>
      </c>
      <c r="AX169" s="21">
        <v>0</v>
      </c>
      <c r="AY169" s="21">
        <v>0</v>
      </c>
      <c r="AZ169" s="22">
        <v>0</v>
      </c>
      <c r="BA169" s="22" t="e">
        <f>MAX(#REF!-AZ169,0)</f>
        <v>#REF!</v>
      </c>
      <c r="BB169" s="23" t="e">
        <f>IF(SUMPRODUCT($J$85:BA$85,$J169:BA169)&lt;0.5, "Pending", IF(BA169&lt;0.5, "Complete", "In Progress"))</f>
        <v>#REF!</v>
      </c>
      <c r="BC169" s="22">
        <v>0</v>
      </c>
      <c r="BD169" s="22" t="e">
        <f t="shared" si="18"/>
        <v>#REF!</v>
      </c>
      <c r="BE169" s="23" t="e">
        <f>IF(SUMPRODUCT($J$85:BD$85,$J169:BD169)&lt;0.5, "Pending", IF(BD169&lt;0.5, "Complete", "In Progress"))</f>
        <v>#REF!</v>
      </c>
      <c r="BF169" s="22">
        <v>0</v>
      </c>
      <c r="BG169" s="22" t="e">
        <f t="shared" si="19"/>
        <v>#REF!</v>
      </c>
      <c r="BH169" s="23" t="e">
        <f>IF(SUMPRODUCT($J$85:BG$85,$J169:BG169)&lt;0.5, "Pending", IF(BG169&lt;0.5, "Complete", "In Progress"))</f>
        <v>#REF!</v>
      </c>
      <c r="BI169" s="22">
        <v>0</v>
      </c>
      <c r="BJ169" s="22" t="e">
        <f t="shared" si="20"/>
        <v>#REF!</v>
      </c>
      <c r="BK169" s="23" t="e">
        <f>IF(SUMPRODUCT($J$85:BJ$85,$J169:BJ169)&lt;0.5, "Pending", IF(BJ169&lt;0.5, "Complete", "In Progress"))</f>
        <v>#REF!</v>
      </c>
      <c r="BL169" s="22">
        <v>0</v>
      </c>
      <c r="BM169" s="22" t="e">
        <f t="shared" si="21"/>
        <v>#REF!</v>
      </c>
      <c r="BN169" s="23" t="e">
        <f>IF(SUMPRODUCT($J$85:BM$85,$J169:BM169)&lt;0.5, "Pending", IF(BM169&lt;0.5, "Complete", "In Progress"))</f>
        <v>#REF!</v>
      </c>
      <c r="BO169" s="22">
        <v>0</v>
      </c>
      <c r="BP169" s="22" t="e">
        <f t="shared" si="22"/>
        <v>#REF!</v>
      </c>
      <c r="BQ169" s="23" t="e">
        <f>IF(SUMPRODUCT($J$85:BP$85,$J169:BP169)&lt;0.5, "Pending", IF(BP169&lt;0.5, "Complete", "In Progress"))</f>
        <v>#REF!</v>
      </c>
      <c r="BR169" s="22">
        <v>0</v>
      </c>
      <c r="BS169" s="22" t="e">
        <f t="shared" si="23"/>
        <v>#REF!</v>
      </c>
      <c r="BT169" s="23" t="e">
        <f>IF(SUMPRODUCT($J$85:BS$85,$J169:BS169)&lt;0.5, "Pending", IF(BS169&lt;0.5, "Complete", "In Progress"))</f>
        <v>#REF!</v>
      </c>
      <c r="BU169" s="22">
        <v>0</v>
      </c>
      <c r="BV169" s="22" t="e">
        <f t="shared" si="24"/>
        <v>#REF!</v>
      </c>
      <c r="BW169" s="23" t="e">
        <f>IF(SUMPRODUCT($J$85:BV$85,$J169:BV169)&lt;0.5, "Pending", IF(BV169&lt;0.5, "Complete", "In Progress"))</f>
        <v>#REF!</v>
      </c>
      <c r="BX169" s="22">
        <v>0</v>
      </c>
      <c r="BY169" s="22" t="e">
        <f t="shared" si="25"/>
        <v>#REF!</v>
      </c>
      <c r="BZ169" s="23" t="e">
        <f>IF(SUMPRODUCT($J$85:BY$85,$J169:BY169)&lt;0.5, "Pending", IF(BY169&lt;0.5, "Complete", "In Progress"))</f>
        <v>#REF!</v>
      </c>
      <c r="CA169" s="22">
        <v>0</v>
      </c>
      <c r="CB169" s="22" t="e">
        <f t="shared" si="26"/>
        <v>#REF!</v>
      </c>
      <c r="CC169" s="23" t="e">
        <f>IF(SUMPRODUCT($J$85:CB$85,$J169:CB169)&lt;0.5, "Pending", IF(CB169&lt;0.5, "Complete", "In Progress"))</f>
        <v>#REF!</v>
      </c>
      <c r="CD169" s="24"/>
      <c r="CE169" s="25">
        <f>SUMPRODUCT($H$85:AY$85,$H169:AY169)</f>
        <v>43</v>
      </c>
    </row>
    <row r="170" spans="1:83" ht="13.8" customHeight="1" x14ac:dyDescent="0.25">
      <c r="A170" s="16" t="s">
        <v>103</v>
      </c>
      <c r="B170" s="16" t="s">
        <v>110</v>
      </c>
      <c r="C170" s="16" t="s">
        <v>521</v>
      </c>
      <c r="D170" s="17">
        <v>11.1</v>
      </c>
      <c r="E170" s="158" t="s">
        <v>465</v>
      </c>
      <c r="F170" s="158" t="s">
        <v>498</v>
      </c>
      <c r="G170" s="19"/>
      <c r="H170" s="20">
        <v>1</v>
      </c>
      <c r="I170" s="21">
        <v>6</v>
      </c>
      <c r="J170" s="21">
        <v>0</v>
      </c>
      <c r="K170" s="21">
        <v>0</v>
      </c>
      <c r="L170" s="21">
        <v>0</v>
      </c>
      <c r="M170" s="21">
        <v>0</v>
      </c>
      <c r="N170" s="21">
        <v>0</v>
      </c>
      <c r="O170" s="21">
        <v>0</v>
      </c>
      <c r="P170" s="21">
        <v>0</v>
      </c>
      <c r="Q170" s="21">
        <v>0</v>
      </c>
      <c r="R170" s="21">
        <v>0</v>
      </c>
      <c r="S170" s="21">
        <v>0</v>
      </c>
      <c r="T170" s="21">
        <v>0</v>
      </c>
      <c r="U170" s="21">
        <v>0</v>
      </c>
      <c r="V170" s="21">
        <v>0</v>
      </c>
      <c r="W170" s="21">
        <v>0</v>
      </c>
      <c r="X170" s="21">
        <v>0</v>
      </c>
      <c r="Y170" s="21">
        <v>0</v>
      </c>
      <c r="Z170" s="21">
        <v>0</v>
      </c>
      <c r="AA170" s="21">
        <v>0</v>
      </c>
      <c r="AB170" s="21">
        <v>0</v>
      </c>
      <c r="AC170" s="21">
        <v>0</v>
      </c>
      <c r="AD170" s="21">
        <v>0</v>
      </c>
      <c r="AE170" s="21">
        <v>0</v>
      </c>
      <c r="AF170" s="21">
        <v>0</v>
      </c>
      <c r="AG170" s="21">
        <v>0</v>
      </c>
      <c r="AH170" s="21">
        <v>0</v>
      </c>
      <c r="AI170" s="21">
        <v>0</v>
      </c>
      <c r="AJ170" s="21">
        <v>0</v>
      </c>
      <c r="AK170" s="21">
        <v>0</v>
      </c>
      <c r="AL170" s="21">
        <v>0</v>
      </c>
      <c r="AM170" s="21">
        <v>0</v>
      </c>
      <c r="AN170" s="21">
        <v>0</v>
      </c>
      <c r="AO170" s="21">
        <v>0</v>
      </c>
      <c r="AP170" s="21">
        <v>0</v>
      </c>
      <c r="AQ170" s="21">
        <v>0</v>
      </c>
      <c r="AR170" s="21">
        <v>0</v>
      </c>
      <c r="AS170" s="21">
        <v>0</v>
      </c>
      <c r="AT170" s="21">
        <v>0</v>
      </c>
      <c r="AU170" s="21">
        <v>0</v>
      </c>
      <c r="AV170" s="21">
        <v>0</v>
      </c>
      <c r="AW170" s="21">
        <v>0</v>
      </c>
      <c r="AX170" s="21">
        <v>0</v>
      </c>
      <c r="AY170" s="21">
        <v>0</v>
      </c>
      <c r="AZ170" s="22">
        <v>0</v>
      </c>
      <c r="BA170" s="22" t="e">
        <f>MAX(#REF!-AZ170,0)</f>
        <v>#REF!</v>
      </c>
      <c r="BB170" s="23" t="e">
        <f>IF(SUMPRODUCT($J$85:BA$85,$J170:BA170)&lt;0.5, "Pending", IF(BA170&lt;0.5, "Complete", "In Progress"))</f>
        <v>#REF!</v>
      </c>
      <c r="BC170" s="22">
        <v>0</v>
      </c>
      <c r="BD170" s="22" t="e">
        <f t="shared" si="18"/>
        <v>#REF!</v>
      </c>
      <c r="BE170" s="23" t="e">
        <f>IF(SUMPRODUCT($J$85:BD$85,$J170:BD170)&lt;0.5, "Pending", IF(BD170&lt;0.5, "Complete", "In Progress"))</f>
        <v>#REF!</v>
      </c>
      <c r="BF170" s="22">
        <v>0</v>
      </c>
      <c r="BG170" s="22" t="e">
        <f t="shared" si="19"/>
        <v>#REF!</v>
      </c>
      <c r="BH170" s="23" t="e">
        <f>IF(SUMPRODUCT($J$85:BG$85,$J170:BG170)&lt;0.5, "Pending", IF(BG170&lt;0.5, "Complete", "In Progress"))</f>
        <v>#REF!</v>
      </c>
      <c r="BI170" s="22">
        <v>0</v>
      </c>
      <c r="BJ170" s="22" t="e">
        <f t="shared" si="20"/>
        <v>#REF!</v>
      </c>
      <c r="BK170" s="23" t="e">
        <f>IF(SUMPRODUCT($J$85:BJ$85,$J170:BJ170)&lt;0.5, "Pending", IF(BJ170&lt;0.5, "Complete", "In Progress"))</f>
        <v>#REF!</v>
      </c>
      <c r="BL170" s="22">
        <v>0</v>
      </c>
      <c r="BM170" s="22" t="e">
        <f t="shared" si="21"/>
        <v>#REF!</v>
      </c>
      <c r="BN170" s="23" t="e">
        <f>IF(SUMPRODUCT($J$85:BM$85,$J170:BM170)&lt;0.5, "Pending", IF(BM170&lt;0.5, "Complete", "In Progress"))</f>
        <v>#REF!</v>
      </c>
      <c r="BO170" s="22">
        <v>0</v>
      </c>
      <c r="BP170" s="22" t="e">
        <f t="shared" si="22"/>
        <v>#REF!</v>
      </c>
      <c r="BQ170" s="23" t="e">
        <f>IF(SUMPRODUCT($J$85:BP$85,$J170:BP170)&lt;0.5, "Pending", IF(BP170&lt;0.5, "Complete", "In Progress"))</f>
        <v>#REF!</v>
      </c>
      <c r="BR170" s="22">
        <v>0</v>
      </c>
      <c r="BS170" s="22" t="e">
        <f t="shared" si="23"/>
        <v>#REF!</v>
      </c>
      <c r="BT170" s="23" t="e">
        <f>IF(SUMPRODUCT($J$85:BS$85,$J170:BS170)&lt;0.5, "Pending", IF(BS170&lt;0.5, "Complete", "In Progress"))</f>
        <v>#REF!</v>
      </c>
      <c r="BU170" s="22">
        <v>0</v>
      </c>
      <c r="BV170" s="22" t="e">
        <f t="shared" si="24"/>
        <v>#REF!</v>
      </c>
      <c r="BW170" s="23" t="e">
        <f>IF(SUMPRODUCT($J$85:BV$85,$J170:BV170)&lt;0.5, "Pending", IF(BV170&lt;0.5, "Complete", "In Progress"))</f>
        <v>#REF!</v>
      </c>
      <c r="BX170" s="22">
        <v>0</v>
      </c>
      <c r="BY170" s="22" t="e">
        <f t="shared" si="25"/>
        <v>#REF!</v>
      </c>
      <c r="BZ170" s="23" t="e">
        <f>IF(SUMPRODUCT($J$85:BY$85,$J170:BY170)&lt;0.5, "Pending", IF(BY170&lt;0.5, "Complete", "In Progress"))</f>
        <v>#REF!</v>
      </c>
      <c r="CA170" s="22">
        <v>0</v>
      </c>
      <c r="CB170" s="22" t="e">
        <f t="shared" si="26"/>
        <v>#REF!</v>
      </c>
      <c r="CC170" s="23" t="e">
        <f>IF(SUMPRODUCT($J$85:CB$85,$J170:CB170)&lt;0.5, "Pending", IF(CB170&lt;0.5, "Complete", "In Progress"))</f>
        <v>#REF!</v>
      </c>
      <c r="CD170" s="24"/>
      <c r="CE170" s="25">
        <f>SUMPRODUCT($H$85:AY$85,$H170:AY170)</f>
        <v>43</v>
      </c>
    </row>
    <row r="171" spans="1:83" ht="13.8" customHeight="1" x14ac:dyDescent="0.25">
      <c r="A171" s="16" t="s">
        <v>104</v>
      </c>
      <c r="B171" s="16" t="s">
        <v>122</v>
      </c>
      <c r="C171" s="16" t="s">
        <v>522</v>
      </c>
      <c r="D171" s="17" t="s">
        <v>275</v>
      </c>
      <c r="E171" s="158" t="s">
        <v>466</v>
      </c>
      <c r="F171" s="158" t="s">
        <v>496</v>
      </c>
      <c r="G171" s="19"/>
      <c r="H171" s="20">
        <v>1</v>
      </c>
      <c r="I171" s="21">
        <v>6</v>
      </c>
      <c r="J171" s="21">
        <v>0</v>
      </c>
      <c r="K171" s="21">
        <v>0</v>
      </c>
      <c r="L171" s="21">
        <v>0</v>
      </c>
      <c r="M171" s="21">
        <v>0</v>
      </c>
      <c r="N171" s="21">
        <v>0</v>
      </c>
      <c r="O171" s="21">
        <v>0</v>
      </c>
      <c r="P171" s="21">
        <v>0</v>
      </c>
      <c r="Q171" s="21">
        <v>0</v>
      </c>
      <c r="R171" s="21">
        <v>0</v>
      </c>
      <c r="S171" s="21">
        <v>0</v>
      </c>
      <c r="T171" s="21">
        <v>0</v>
      </c>
      <c r="U171" s="21">
        <v>0</v>
      </c>
      <c r="V171" s="21">
        <v>0</v>
      </c>
      <c r="W171" s="21">
        <v>0</v>
      </c>
      <c r="X171" s="21">
        <v>0</v>
      </c>
      <c r="Y171" s="21">
        <v>0</v>
      </c>
      <c r="Z171" s="21">
        <v>0</v>
      </c>
      <c r="AA171" s="21">
        <v>0</v>
      </c>
      <c r="AB171" s="21">
        <v>0</v>
      </c>
      <c r="AC171" s="21">
        <v>0</v>
      </c>
      <c r="AD171" s="21">
        <v>0</v>
      </c>
      <c r="AE171" s="21">
        <v>0</v>
      </c>
      <c r="AF171" s="21">
        <v>0</v>
      </c>
      <c r="AG171" s="21">
        <v>0</v>
      </c>
      <c r="AH171" s="21">
        <v>0</v>
      </c>
      <c r="AI171" s="21">
        <v>0</v>
      </c>
      <c r="AJ171" s="21">
        <v>0</v>
      </c>
      <c r="AK171" s="21">
        <v>0</v>
      </c>
      <c r="AL171" s="21">
        <v>0</v>
      </c>
      <c r="AM171" s="21">
        <v>0</v>
      </c>
      <c r="AN171" s="21">
        <v>0</v>
      </c>
      <c r="AO171" s="21">
        <v>0</v>
      </c>
      <c r="AP171" s="21">
        <v>0</v>
      </c>
      <c r="AQ171" s="21">
        <v>0</v>
      </c>
      <c r="AR171" s="21">
        <v>0</v>
      </c>
      <c r="AS171" s="21">
        <v>0</v>
      </c>
      <c r="AT171" s="21">
        <v>0</v>
      </c>
      <c r="AU171" s="21">
        <v>0</v>
      </c>
      <c r="AV171" s="21">
        <v>0</v>
      </c>
      <c r="AW171" s="21">
        <v>0</v>
      </c>
      <c r="AX171" s="21">
        <v>0</v>
      </c>
      <c r="AY171" s="21">
        <v>0</v>
      </c>
      <c r="AZ171" s="22">
        <v>0</v>
      </c>
      <c r="BA171" s="22" t="e">
        <f>MAX(#REF!-AZ171,0)</f>
        <v>#REF!</v>
      </c>
      <c r="BB171" s="23" t="e">
        <f>IF(SUMPRODUCT($J$85:BA$85,$J171:BA171)&lt;0.5, "Pending", IF(BA171&lt;0.5, "Complete", "In Progress"))</f>
        <v>#REF!</v>
      </c>
      <c r="BC171" s="22">
        <v>0</v>
      </c>
      <c r="BD171" s="22" t="e">
        <f t="shared" si="18"/>
        <v>#REF!</v>
      </c>
      <c r="BE171" s="23" t="e">
        <f>IF(SUMPRODUCT($J$85:BD$85,$J171:BD171)&lt;0.5, "Pending", IF(BD171&lt;0.5, "Complete", "In Progress"))</f>
        <v>#REF!</v>
      </c>
      <c r="BF171" s="22">
        <v>0</v>
      </c>
      <c r="BG171" s="22" t="e">
        <f t="shared" si="19"/>
        <v>#REF!</v>
      </c>
      <c r="BH171" s="23" t="e">
        <f>IF(SUMPRODUCT($J$85:BG$85,$J171:BG171)&lt;0.5, "Pending", IF(BG171&lt;0.5, "Complete", "In Progress"))</f>
        <v>#REF!</v>
      </c>
      <c r="BI171" s="22">
        <v>0</v>
      </c>
      <c r="BJ171" s="22" t="e">
        <f t="shared" si="20"/>
        <v>#REF!</v>
      </c>
      <c r="BK171" s="23" t="e">
        <f>IF(SUMPRODUCT($J$85:BJ$85,$J171:BJ171)&lt;0.5, "Pending", IF(BJ171&lt;0.5, "Complete", "In Progress"))</f>
        <v>#REF!</v>
      </c>
      <c r="BL171" s="22">
        <v>0</v>
      </c>
      <c r="BM171" s="22" t="e">
        <f t="shared" si="21"/>
        <v>#REF!</v>
      </c>
      <c r="BN171" s="23" t="e">
        <f>IF(SUMPRODUCT($J$85:BM$85,$J171:BM171)&lt;0.5, "Pending", IF(BM171&lt;0.5, "Complete", "In Progress"))</f>
        <v>#REF!</v>
      </c>
      <c r="BO171" s="22">
        <v>0</v>
      </c>
      <c r="BP171" s="22" t="e">
        <f t="shared" si="22"/>
        <v>#REF!</v>
      </c>
      <c r="BQ171" s="23" t="e">
        <f>IF(SUMPRODUCT($J$85:BP$85,$J171:BP171)&lt;0.5, "Pending", IF(BP171&lt;0.5, "Complete", "In Progress"))</f>
        <v>#REF!</v>
      </c>
      <c r="BR171" s="22">
        <v>0</v>
      </c>
      <c r="BS171" s="22" t="e">
        <f t="shared" si="23"/>
        <v>#REF!</v>
      </c>
      <c r="BT171" s="23" t="e">
        <f>IF(SUMPRODUCT($J$85:BS$85,$J171:BS171)&lt;0.5, "Pending", IF(BS171&lt;0.5, "Complete", "In Progress"))</f>
        <v>#REF!</v>
      </c>
      <c r="BU171" s="22">
        <v>0</v>
      </c>
      <c r="BV171" s="22" t="e">
        <f t="shared" si="24"/>
        <v>#REF!</v>
      </c>
      <c r="BW171" s="23" t="e">
        <f>IF(SUMPRODUCT($J$85:BV$85,$J171:BV171)&lt;0.5, "Pending", IF(BV171&lt;0.5, "Complete", "In Progress"))</f>
        <v>#REF!</v>
      </c>
      <c r="BX171" s="22">
        <v>0</v>
      </c>
      <c r="BY171" s="22" t="e">
        <f t="shared" si="25"/>
        <v>#REF!</v>
      </c>
      <c r="BZ171" s="23" t="e">
        <f>IF(SUMPRODUCT($J$85:BY$85,$J171:BY171)&lt;0.5, "Pending", IF(BY171&lt;0.5, "Complete", "In Progress"))</f>
        <v>#REF!</v>
      </c>
      <c r="CA171" s="22">
        <v>0</v>
      </c>
      <c r="CB171" s="22" t="e">
        <f t="shared" si="26"/>
        <v>#REF!</v>
      </c>
      <c r="CC171" s="23" t="e">
        <f>IF(SUMPRODUCT($J$85:CB$85,$J171:CB171)&lt;0.5, "Pending", IF(CB171&lt;0.5, "Complete", "In Progress"))</f>
        <v>#REF!</v>
      </c>
      <c r="CD171" s="24"/>
      <c r="CE171" s="25">
        <f>SUMPRODUCT($H$85:AY$85,$H171:AY171)</f>
        <v>43</v>
      </c>
    </row>
    <row r="172" spans="1:83" ht="13.8" customHeight="1" x14ac:dyDescent="0.25">
      <c r="A172" s="16" t="s">
        <v>103</v>
      </c>
      <c r="B172" s="16" t="s">
        <v>110</v>
      </c>
      <c r="C172" s="16" t="s">
        <v>522</v>
      </c>
      <c r="D172" s="17" t="s">
        <v>276</v>
      </c>
      <c r="E172" s="158" t="s">
        <v>467</v>
      </c>
      <c r="F172" s="158" t="s">
        <v>495</v>
      </c>
      <c r="G172" s="169"/>
      <c r="H172" s="20">
        <v>1</v>
      </c>
      <c r="I172" s="21">
        <v>6</v>
      </c>
      <c r="J172" s="21">
        <v>0</v>
      </c>
      <c r="K172" s="21">
        <v>0</v>
      </c>
      <c r="L172" s="21">
        <v>0</v>
      </c>
      <c r="M172" s="21">
        <v>0</v>
      </c>
      <c r="N172" s="21">
        <v>0</v>
      </c>
      <c r="O172" s="21">
        <v>0</v>
      </c>
      <c r="P172" s="21">
        <v>0</v>
      </c>
      <c r="Q172" s="21">
        <v>0</v>
      </c>
      <c r="R172" s="21">
        <v>0</v>
      </c>
      <c r="S172" s="21">
        <v>0</v>
      </c>
      <c r="T172" s="21">
        <v>0</v>
      </c>
      <c r="U172" s="21">
        <v>0</v>
      </c>
      <c r="V172" s="21">
        <v>0</v>
      </c>
      <c r="W172" s="21">
        <v>0</v>
      </c>
      <c r="X172" s="21">
        <v>0</v>
      </c>
      <c r="Y172" s="21">
        <v>0</v>
      </c>
      <c r="Z172" s="21">
        <v>0</v>
      </c>
      <c r="AA172" s="21">
        <v>0</v>
      </c>
      <c r="AB172" s="21">
        <v>0</v>
      </c>
      <c r="AC172" s="21">
        <v>0</v>
      </c>
      <c r="AD172" s="21">
        <v>0</v>
      </c>
      <c r="AE172" s="21">
        <v>0</v>
      </c>
      <c r="AF172" s="21">
        <v>0</v>
      </c>
      <c r="AG172" s="21">
        <v>0</v>
      </c>
      <c r="AH172" s="21">
        <v>0</v>
      </c>
      <c r="AI172" s="21">
        <v>0</v>
      </c>
      <c r="AJ172" s="21">
        <v>0</v>
      </c>
      <c r="AK172" s="21">
        <v>0</v>
      </c>
      <c r="AL172" s="21">
        <v>0</v>
      </c>
      <c r="AM172" s="21">
        <v>0</v>
      </c>
      <c r="AN172" s="21">
        <v>0</v>
      </c>
      <c r="AO172" s="21">
        <v>0</v>
      </c>
      <c r="AP172" s="21">
        <v>0</v>
      </c>
      <c r="AQ172" s="21">
        <v>0</v>
      </c>
      <c r="AR172" s="21">
        <v>0</v>
      </c>
      <c r="AS172" s="21">
        <v>0</v>
      </c>
      <c r="AT172" s="21">
        <v>0</v>
      </c>
      <c r="AU172" s="21">
        <v>0</v>
      </c>
      <c r="AV172" s="21">
        <v>0</v>
      </c>
      <c r="AW172" s="21">
        <v>0</v>
      </c>
      <c r="AX172" s="21">
        <v>0</v>
      </c>
      <c r="AY172" s="21">
        <v>0</v>
      </c>
      <c r="AZ172" s="22">
        <v>0</v>
      </c>
      <c r="BA172" s="22" t="e">
        <f>MAX(#REF!-AZ172,0)</f>
        <v>#REF!</v>
      </c>
      <c r="BB172" s="23" t="e">
        <f>IF(SUMPRODUCT($J$85:BA$85,$J172:BA172)&lt;0.5, "Pending", IF(BA172&lt;0.5, "Complete", "In Progress"))</f>
        <v>#REF!</v>
      </c>
      <c r="BC172" s="22">
        <v>0</v>
      </c>
      <c r="BD172" s="22" t="e">
        <f t="shared" si="18"/>
        <v>#REF!</v>
      </c>
      <c r="BE172" s="23" t="e">
        <f>IF(SUMPRODUCT($J$85:BD$85,$J172:BD172)&lt;0.5, "Pending", IF(BD172&lt;0.5, "Complete", "In Progress"))</f>
        <v>#REF!</v>
      </c>
      <c r="BF172" s="22">
        <v>0</v>
      </c>
      <c r="BG172" s="22" t="e">
        <f t="shared" si="19"/>
        <v>#REF!</v>
      </c>
      <c r="BH172" s="23" t="e">
        <f>IF(SUMPRODUCT($J$85:BG$85,$J172:BG172)&lt;0.5, "Pending", IF(BG172&lt;0.5, "Complete", "In Progress"))</f>
        <v>#REF!</v>
      </c>
      <c r="BI172" s="22">
        <v>0</v>
      </c>
      <c r="BJ172" s="22" t="e">
        <f t="shared" si="20"/>
        <v>#REF!</v>
      </c>
      <c r="BK172" s="23" t="e">
        <f>IF(SUMPRODUCT($J$85:BJ$85,$J172:BJ172)&lt;0.5, "Pending", IF(BJ172&lt;0.5, "Complete", "In Progress"))</f>
        <v>#REF!</v>
      </c>
      <c r="BL172" s="22">
        <v>0</v>
      </c>
      <c r="BM172" s="22" t="e">
        <f t="shared" si="21"/>
        <v>#REF!</v>
      </c>
      <c r="BN172" s="23" t="e">
        <f>IF(SUMPRODUCT($J$85:BM$85,$J172:BM172)&lt;0.5, "Pending", IF(BM172&lt;0.5, "Complete", "In Progress"))</f>
        <v>#REF!</v>
      </c>
      <c r="BO172" s="22">
        <v>0</v>
      </c>
      <c r="BP172" s="22" t="e">
        <f t="shared" si="22"/>
        <v>#REF!</v>
      </c>
      <c r="BQ172" s="23" t="e">
        <f>IF(SUMPRODUCT($J$85:BP$85,$J172:BP172)&lt;0.5, "Pending", IF(BP172&lt;0.5, "Complete", "In Progress"))</f>
        <v>#REF!</v>
      </c>
      <c r="BR172" s="22">
        <v>0</v>
      </c>
      <c r="BS172" s="22" t="e">
        <f t="shared" si="23"/>
        <v>#REF!</v>
      </c>
      <c r="BT172" s="23" t="e">
        <f>IF(SUMPRODUCT($J$85:BS$85,$J172:BS172)&lt;0.5, "Pending", IF(BS172&lt;0.5, "Complete", "In Progress"))</f>
        <v>#REF!</v>
      </c>
      <c r="BU172" s="22">
        <v>0</v>
      </c>
      <c r="BV172" s="22" t="e">
        <f t="shared" si="24"/>
        <v>#REF!</v>
      </c>
      <c r="BW172" s="23" t="e">
        <f>IF(SUMPRODUCT($J$85:BV$85,$J172:BV172)&lt;0.5, "Pending", IF(BV172&lt;0.5, "Complete", "In Progress"))</f>
        <v>#REF!</v>
      </c>
      <c r="BX172" s="22">
        <v>0</v>
      </c>
      <c r="BY172" s="22" t="e">
        <f t="shared" si="25"/>
        <v>#REF!</v>
      </c>
      <c r="BZ172" s="23" t="e">
        <f>IF(SUMPRODUCT($J$85:BY$85,$J172:BY172)&lt;0.5, "Pending", IF(BY172&lt;0.5, "Complete", "In Progress"))</f>
        <v>#REF!</v>
      </c>
      <c r="CA172" s="22">
        <v>0</v>
      </c>
      <c r="CB172" s="22" t="e">
        <f t="shared" si="26"/>
        <v>#REF!</v>
      </c>
      <c r="CC172" s="23" t="e">
        <f>IF(SUMPRODUCT($J$85:CB$85,$J172:CB172)&lt;0.5, "Pending", IF(CB172&lt;0.5, "Complete", "In Progress"))</f>
        <v>#REF!</v>
      </c>
      <c r="CD172" s="24"/>
      <c r="CE172" s="25">
        <f>SUMPRODUCT($H$85:AY$85,$H172:AY172)</f>
        <v>43</v>
      </c>
    </row>
    <row r="173" spans="1:83" ht="13.8" customHeight="1" x14ac:dyDescent="0.25">
      <c r="A173" s="16" t="s">
        <v>103</v>
      </c>
      <c r="B173" s="16" t="s">
        <v>110</v>
      </c>
      <c r="C173" s="16" t="s">
        <v>522</v>
      </c>
      <c r="D173" s="17" t="s">
        <v>277</v>
      </c>
      <c r="E173" s="158" t="s">
        <v>468</v>
      </c>
      <c r="F173" s="158" t="s">
        <v>493</v>
      </c>
      <c r="G173" s="168"/>
      <c r="H173" s="20">
        <v>1</v>
      </c>
      <c r="I173" s="21">
        <v>56</v>
      </c>
      <c r="J173" s="21">
        <v>0</v>
      </c>
      <c r="K173" s="21">
        <v>0</v>
      </c>
      <c r="L173" s="21">
        <v>0</v>
      </c>
      <c r="M173" s="21">
        <v>0</v>
      </c>
      <c r="N173" s="21">
        <v>0</v>
      </c>
      <c r="O173" s="21">
        <v>0</v>
      </c>
      <c r="P173" s="21">
        <v>0</v>
      </c>
      <c r="Q173" s="21">
        <v>0</v>
      </c>
      <c r="R173" s="21">
        <v>0</v>
      </c>
      <c r="S173" s="21">
        <v>0</v>
      </c>
      <c r="T173" s="21">
        <v>0</v>
      </c>
      <c r="U173" s="21">
        <v>0</v>
      </c>
      <c r="V173" s="21">
        <v>0</v>
      </c>
      <c r="W173" s="21">
        <v>0</v>
      </c>
      <c r="X173" s="21">
        <v>0</v>
      </c>
      <c r="Y173" s="21">
        <v>0</v>
      </c>
      <c r="Z173" s="21">
        <v>0</v>
      </c>
      <c r="AA173" s="21">
        <v>0</v>
      </c>
      <c r="AB173" s="21">
        <v>0</v>
      </c>
      <c r="AC173" s="21">
        <v>0</v>
      </c>
      <c r="AD173" s="21">
        <v>0</v>
      </c>
      <c r="AE173" s="21">
        <v>0</v>
      </c>
      <c r="AF173" s="21">
        <v>0</v>
      </c>
      <c r="AG173" s="21">
        <v>0</v>
      </c>
      <c r="AH173" s="21">
        <v>0</v>
      </c>
      <c r="AI173" s="21">
        <v>0</v>
      </c>
      <c r="AJ173" s="21">
        <v>0</v>
      </c>
      <c r="AK173" s="21">
        <v>0</v>
      </c>
      <c r="AL173" s="21">
        <v>0</v>
      </c>
      <c r="AM173" s="21">
        <v>0</v>
      </c>
      <c r="AN173" s="21">
        <v>0</v>
      </c>
      <c r="AO173" s="21">
        <v>0</v>
      </c>
      <c r="AP173" s="21">
        <v>0</v>
      </c>
      <c r="AQ173" s="21">
        <v>0</v>
      </c>
      <c r="AR173" s="21">
        <v>0</v>
      </c>
      <c r="AS173" s="21">
        <v>0</v>
      </c>
      <c r="AT173" s="21">
        <v>0</v>
      </c>
      <c r="AU173" s="21">
        <v>0</v>
      </c>
      <c r="AV173" s="21">
        <v>0</v>
      </c>
      <c r="AW173" s="21">
        <v>0</v>
      </c>
      <c r="AX173" s="21">
        <v>0</v>
      </c>
      <c r="AY173" s="21">
        <v>0</v>
      </c>
      <c r="AZ173" s="22">
        <v>0</v>
      </c>
      <c r="BA173" s="22" t="e">
        <f>MAX(#REF!-AZ173,0)</f>
        <v>#REF!</v>
      </c>
      <c r="BB173" s="23" t="e">
        <f>IF(SUMPRODUCT($J$85:BA$85,$J173:BA173)&lt;0.5, "Pending", IF(BA173&lt;0.5, "Complete", "In Progress"))</f>
        <v>#REF!</v>
      </c>
      <c r="BC173" s="22">
        <v>0</v>
      </c>
      <c r="BD173" s="22" t="e">
        <f t="shared" si="18"/>
        <v>#REF!</v>
      </c>
      <c r="BE173" s="23" t="e">
        <f>IF(SUMPRODUCT($J$85:BD$85,$J173:BD173)&lt;0.5, "Pending", IF(BD173&lt;0.5, "Complete", "In Progress"))</f>
        <v>#REF!</v>
      </c>
      <c r="BF173" s="22">
        <v>0</v>
      </c>
      <c r="BG173" s="22" t="e">
        <f t="shared" si="19"/>
        <v>#REF!</v>
      </c>
      <c r="BH173" s="23" t="e">
        <f>IF(SUMPRODUCT($J$85:BG$85,$J173:BG173)&lt;0.5, "Pending", IF(BG173&lt;0.5, "Complete", "In Progress"))</f>
        <v>#REF!</v>
      </c>
      <c r="BI173" s="22">
        <v>0</v>
      </c>
      <c r="BJ173" s="22" t="e">
        <f t="shared" si="20"/>
        <v>#REF!</v>
      </c>
      <c r="BK173" s="23" t="e">
        <f>IF(SUMPRODUCT($J$85:BJ$85,$J173:BJ173)&lt;0.5, "Pending", IF(BJ173&lt;0.5, "Complete", "In Progress"))</f>
        <v>#REF!</v>
      </c>
      <c r="BL173" s="22">
        <v>0</v>
      </c>
      <c r="BM173" s="22" t="e">
        <f t="shared" si="21"/>
        <v>#REF!</v>
      </c>
      <c r="BN173" s="23" t="e">
        <f>IF(SUMPRODUCT($J$85:BM$85,$J173:BM173)&lt;0.5, "Pending", IF(BM173&lt;0.5, "Complete", "In Progress"))</f>
        <v>#REF!</v>
      </c>
      <c r="BO173" s="22">
        <v>0</v>
      </c>
      <c r="BP173" s="22" t="e">
        <f t="shared" si="22"/>
        <v>#REF!</v>
      </c>
      <c r="BQ173" s="23" t="e">
        <f>IF(SUMPRODUCT($J$85:BP$85,$J173:BP173)&lt;0.5, "Pending", IF(BP173&lt;0.5, "Complete", "In Progress"))</f>
        <v>#REF!</v>
      </c>
      <c r="BR173" s="22">
        <v>0</v>
      </c>
      <c r="BS173" s="22" t="e">
        <f t="shared" si="23"/>
        <v>#REF!</v>
      </c>
      <c r="BT173" s="23" t="e">
        <f>IF(SUMPRODUCT($J$85:BS$85,$J173:BS173)&lt;0.5, "Pending", IF(BS173&lt;0.5, "Complete", "In Progress"))</f>
        <v>#REF!</v>
      </c>
      <c r="BU173" s="22">
        <v>0</v>
      </c>
      <c r="BV173" s="22" t="e">
        <f t="shared" si="24"/>
        <v>#REF!</v>
      </c>
      <c r="BW173" s="23" t="e">
        <f>IF(SUMPRODUCT($J$85:BV$85,$J173:BV173)&lt;0.5, "Pending", IF(BV173&lt;0.5, "Complete", "In Progress"))</f>
        <v>#REF!</v>
      </c>
      <c r="BX173" s="22">
        <v>0</v>
      </c>
      <c r="BY173" s="22" t="e">
        <f t="shared" si="25"/>
        <v>#REF!</v>
      </c>
      <c r="BZ173" s="23" t="e">
        <f>IF(SUMPRODUCT($J$85:BY$85,$J173:BY173)&lt;0.5, "Pending", IF(BY173&lt;0.5, "Complete", "In Progress"))</f>
        <v>#REF!</v>
      </c>
      <c r="CA173" s="22">
        <v>0</v>
      </c>
      <c r="CB173" s="22" t="e">
        <f t="shared" si="26"/>
        <v>#REF!</v>
      </c>
      <c r="CC173" s="23" t="e">
        <f>IF(SUMPRODUCT($J$85:CB$85,$J173:CB173)&lt;0.5, "Pending", IF(CB173&lt;0.5, "Complete", "In Progress"))</f>
        <v>#REF!</v>
      </c>
      <c r="CD173" s="24"/>
      <c r="CE173" s="25">
        <f>SUMPRODUCT($H$85:AY$85,$H173:AY173)</f>
        <v>393</v>
      </c>
    </row>
    <row r="174" spans="1:83" ht="13.8" customHeight="1" x14ac:dyDescent="0.25">
      <c r="A174" s="16" t="s">
        <v>103</v>
      </c>
      <c r="B174" s="16" t="s">
        <v>110</v>
      </c>
      <c r="C174" s="16" t="s">
        <v>522</v>
      </c>
      <c r="D174" s="17" t="s">
        <v>278</v>
      </c>
      <c r="E174" s="158" t="s">
        <v>469</v>
      </c>
      <c r="F174" s="158" t="s">
        <v>494</v>
      </c>
      <c r="G174" s="19"/>
      <c r="H174" s="20">
        <v>1</v>
      </c>
      <c r="I174" s="21">
        <v>6</v>
      </c>
      <c r="J174" s="21">
        <v>0</v>
      </c>
      <c r="K174" s="21">
        <v>0</v>
      </c>
      <c r="L174" s="21">
        <v>0</v>
      </c>
      <c r="M174" s="21">
        <v>0</v>
      </c>
      <c r="N174" s="21">
        <v>0</v>
      </c>
      <c r="O174" s="21">
        <v>0</v>
      </c>
      <c r="P174" s="21">
        <v>0</v>
      </c>
      <c r="Q174" s="21">
        <v>0</v>
      </c>
      <c r="R174" s="21">
        <v>0</v>
      </c>
      <c r="S174" s="21">
        <v>0</v>
      </c>
      <c r="T174" s="21">
        <v>0</v>
      </c>
      <c r="U174" s="21">
        <v>0</v>
      </c>
      <c r="V174" s="21">
        <v>0</v>
      </c>
      <c r="W174" s="21">
        <v>0</v>
      </c>
      <c r="X174" s="21">
        <v>0</v>
      </c>
      <c r="Y174" s="21">
        <v>0</v>
      </c>
      <c r="Z174" s="21">
        <v>0</v>
      </c>
      <c r="AA174" s="21">
        <v>0</v>
      </c>
      <c r="AB174" s="21">
        <v>0</v>
      </c>
      <c r="AC174" s="21">
        <v>0</v>
      </c>
      <c r="AD174" s="21">
        <v>0</v>
      </c>
      <c r="AE174" s="21">
        <v>0</v>
      </c>
      <c r="AF174" s="21">
        <v>0</v>
      </c>
      <c r="AG174" s="21">
        <v>0</v>
      </c>
      <c r="AH174" s="21">
        <v>0</v>
      </c>
      <c r="AI174" s="21">
        <v>0</v>
      </c>
      <c r="AJ174" s="21">
        <v>0</v>
      </c>
      <c r="AK174" s="21">
        <v>0</v>
      </c>
      <c r="AL174" s="21">
        <v>0</v>
      </c>
      <c r="AM174" s="21">
        <v>0</v>
      </c>
      <c r="AN174" s="21">
        <v>0</v>
      </c>
      <c r="AO174" s="21">
        <v>0</v>
      </c>
      <c r="AP174" s="21">
        <v>0</v>
      </c>
      <c r="AQ174" s="21">
        <v>0</v>
      </c>
      <c r="AR174" s="21">
        <v>0</v>
      </c>
      <c r="AS174" s="21">
        <v>0</v>
      </c>
      <c r="AT174" s="21">
        <v>0</v>
      </c>
      <c r="AU174" s="21">
        <v>0</v>
      </c>
      <c r="AV174" s="21">
        <v>0</v>
      </c>
      <c r="AW174" s="21">
        <v>0</v>
      </c>
      <c r="AX174" s="21">
        <v>0</v>
      </c>
      <c r="AY174" s="21">
        <v>0</v>
      </c>
      <c r="AZ174" s="22">
        <v>0</v>
      </c>
      <c r="BA174" s="22" t="e">
        <f>MAX(#REF!-AZ174,0)</f>
        <v>#REF!</v>
      </c>
      <c r="BB174" s="23" t="e">
        <f>IF(SUMPRODUCT($J$85:BA$85,$J174:BA174)&lt;0.5, "Pending", IF(BA174&lt;0.5, "Complete", "In Progress"))</f>
        <v>#REF!</v>
      </c>
      <c r="BC174" s="22">
        <v>0</v>
      </c>
      <c r="BD174" s="22" t="e">
        <f t="shared" si="18"/>
        <v>#REF!</v>
      </c>
      <c r="BE174" s="23" t="e">
        <f>IF(SUMPRODUCT($J$85:BD$85,$J174:BD174)&lt;0.5, "Pending", IF(BD174&lt;0.5, "Complete", "In Progress"))</f>
        <v>#REF!</v>
      </c>
      <c r="BF174" s="22">
        <v>0</v>
      </c>
      <c r="BG174" s="22" t="e">
        <f t="shared" si="19"/>
        <v>#REF!</v>
      </c>
      <c r="BH174" s="23" t="e">
        <f>IF(SUMPRODUCT($J$85:BG$85,$J174:BG174)&lt;0.5, "Pending", IF(BG174&lt;0.5, "Complete", "In Progress"))</f>
        <v>#REF!</v>
      </c>
      <c r="BI174" s="22">
        <v>0</v>
      </c>
      <c r="BJ174" s="22" t="e">
        <f t="shared" si="20"/>
        <v>#REF!</v>
      </c>
      <c r="BK174" s="23" t="e">
        <f>IF(SUMPRODUCT($J$85:BJ$85,$J174:BJ174)&lt;0.5, "Pending", IF(BJ174&lt;0.5, "Complete", "In Progress"))</f>
        <v>#REF!</v>
      </c>
      <c r="BL174" s="22">
        <v>0</v>
      </c>
      <c r="BM174" s="22" t="e">
        <f t="shared" si="21"/>
        <v>#REF!</v>
      </c>
      <c r="BN174" s="23" t="e">
        <f>IF(SUMPRODUCT($J$85:BM$85,$J174:BM174)&lt;0.5, "Pending", IF(BM174&lt;0.5, "Complete", "In Progress"))</f>
        <v>#REF!</v>
      </c>
      <c r="BO174" s="22">
        <v>0</v>
      </c>
      <c r="BP174" s="22" t="e">
        <f t="shared" si="22"/>
        <v>#REF!</v>
      </c>
      <c r="BQ174" s="23" t="e">
        <f>IF(SUMPRODUCT($J$85:BP$85,$J174:BP174)&lt;0.5, "Pending", IF(BP174&lt;0.5, "Complete", "In Progress"))</f>
        <v>#REF!</v>
      </c>
      <c r="BR174" s="22">
        <v>0</v>
      </c>
      <c r="BS174" s="22" t="e">
        <f t="shared" si="23"/>
        <v>#REF!</v>
      </c>
      <c r="BT174" s="23" t="e">
        <f>IF(SUMPRODUCT($J$85:BS$85,$J174:BS174)&lt;0.5, "Pending", IF(BS174&lt;0.5, "Complete", "In Progress"))</f>
        <v>#REF!</v>
      </c>
      <c r="BU174" s="22">
        <v>0</v>
      </c>
      <c r="BV174" s="22" t="e">
        <f t="shared" si="24"/>
        <v>#REF!</v>
      </c>
      <c r="BW174" s="23" t="e">
        <f>IF(SUMPRODUCT($J$85:BV$85,$J174:BV174)&lt;0.5, "Pending", IF(BV174&lt;0.5, "Complete", "In Progress"))</f>
        <v>#REF!</v>
      </c>
      <c r="BX174" s="22">
        <v>0</v>
      </c>
      <c r="BY174" s="22" t="e">
        <f t="shared" si="25"/>
        <v>#REF!</v>
      </c>
      <c r="BZ174" s="23" t="e">
        <f>IF(SUMPRODUCT($J$85:BY$85,$J174:BY174)&lt;0.5, "Pending", IF(BY174&lt;0.5, "Complete", "In Progress"))</f>
        <v>#REF!</v>
      </c>
      <c r="CA174" s="22">
        <v>0</v>
      </c>
      <c r="CB174" s="22" t="e">
        <f t="shared" si="26"/>
        <v>#REF!</v>
      </c>
      <c r="CC174" s="23" t="e">
        <f>IF(SUMPRODUCT($J$85:CB$85,$J174:CB174)&lt;0.5, "Pending", IF(CB174&lt;0.5, "Complete", "In Progress"))</f>
        <v>#REF!</v>
      </c>
      <c r="CD174" s="24"/>
      <c r="CE174" s="25">
        <f>SUMPRODUCT($H$85:AY$85,$H174:AY174)</f>
        <v>43</v>
      </c>
    </row>
    <row r="175" spans="1:83" ht="13.8" customHeight="1" x14ac:dyDescent="0.25">
      <c r="A175" s="16" t="s">
        <v>104</v>
      </c>
      <c r="B175" s="16" t="s">
        <v>122</v>
      </c>
      <c r="C175" s="16" t="s">
        <v>522</v>
      </c>
      <c r="D175" s="17" t="s">
        <v>279</v>
      </c>
      <c r="E175" s="158" t="s">
        <v>459</v>
      </c>
      <c r="F175" s="158" t="s">
        <v>497</v>
      </c>
      <c r="G175" s="19"/>
      <c r="H175" s="20">
        <v>1</v>
      </c>
      <c r="I175" s="21">
        <v>6</v>
      </c>
      <c r="J175" s="21">
        <v>0</v>
      </c>
      <c r="K175" s="21">
        <v>0</v>
      </c>
      <c r="L175" s="21">
        <v>0</v>
      </c>
      <c r="M175" s="21">
        <v>0</v>
      </c>
      <c r="N175" s="21">
        <v>0</v>
      </c>
      <c r="O175" s="21">
        <v>0</v>
      </c>
      <c r="P175" s="21">
        <v>0</v>
      </c>
      <c r="Q175" s="21">
        <v>0</v>
      </c>
      <c r="R175" s="21">
        <v>0</v>
      </c>
      <c r="S175" s="21">
        <v>0</v>
      </c>
      <c r="T175" s="21">
        <v>0</v>
      </c>
      <c r="U175" s="21">
        <v>0</v>
      </c>
      <c r="V175" s="21">
        <v>0</v>
      </c>
      <c r="W175" s="21">
        <v>0</v>
      </c>
      <c r="X175" s="21">
        <v>0</v>
      </c>
      <c r="Y175" s="21">
        <v>0</v>
      </c>
      <c r="Z175" s="21">
        <v>0</v>
      </c>
      <c r="AA175" s="21">
        <v>0</v>
      </c>
      <c r="AB175" s="21">
        <v>0</v>
      </c>
      <c r="AC175" s="21">
        <v>0</v>
      </c>
      <c r="AD175" s="21">
        <v>0</v>
      </c>
      <c r="AE175" s="21">
        <v>0</v>
      </c>
      <c r="AF175" s="21">
        <v>0</v>
      </c>
      <c r="AG175" s="21">
        <v>0</v>
      </c>
      <c r="AH175" s="21">
        <v>0</v>
      </c>
      <c r="AI175" s="21">
        <v>0</v>
      </c>
      <c r="AJ175" s="21">
        <v>0</v>
      </c>
      <c r="AK175" s="21">
        <v>0</v>
      </c>
      <c r="AL175" s="21">
        <v>0</v>
      </c>
      <c r="AM175" s="21">
        <v>0</v>
      </c>
      <c r="AN175" s="21">
        <v>0</v>
      </c>
      <c r="AO175" s="21">
        <v>0</v>
      </c>
      <c r="AP175" s="21">
        <v>0</v>
      </c>
      <c r="AQ175" s="21">
        <v>0</v>
      </c>
      <c r="AR175" s="21">
        <v>0</v>
      </c>
      <c r="AS175" s="21">
        <v>0</v>
      </c>
      <c r="AT175" s="21">
        <v>0</v>
      </c>
      <c r="AU175" s="21">
        <v>0</v>
      </c>
      <c r="AV175" s="21">
        <v>0</v>
      </c>
      <c r="AW175" s="21">
        <v>0</v>
      </c>
      <c r="AX175" s="21">
        <v>0</v>
      </c>
      <c r="AY175" s="21">
        <v>0</v>
      </c>
      <c r="AZ175" s="22">
        <v>0</v>
      </c>
      <c r="BA175" s="22" t="e">
        <f>MAX(#REF!-AZ175,0)</f>
        <v>#REF!</v>
      </c>
      <c r="BB175" s="23" t="e">
        <f>IF(SUMPRODUCT($J$85:BA$85,$J175:BA175)&lt;0.5, "Pending", IF(BA175&lt;0.5, "Complete", "In Progress"))</f>
        <v>#REF!</v>
      </c>
      <c r="BC175" s="22">
        <v>0</v>
      </c>
      <c r="BD175" s="22" t="e">
        <f t="shared" si="18"/>
        <v>#REF!</v>
      </c>
      <c r="BE175" s="23" t="e">
        <f>IF(SUMPRODUCT($J$85:BD$85,$J175:BD175)&lt;0.5, "Pending", IF(BD175&lt;0.5, "Complete", "In Progress"))</f>
        <v>#REF!</v>
      </c>
      <c r="BF175" s="22">
        <v>0</v>
      </c>
      <c r="BG175" s="22" t="e">
        <f t="shared" si="19"/>
        <v>#REF!</v>
      </c>
      <c r="BH175" s="23" t="e">
        <f>IF(SUMPRODUCT($J$85:BG$85,$J175:BG175)&lt;0.5, "Pending", IF(BG175&lt;0.5, "Complete", "In Progress"))</f>
        <v>#REF!</v>
      </c>
      <c r="BI175" s="22">
        <v>0</v>
      </c>
      <c r="BJ175" s="22" t="e">
        <f t="shared" si="20"/>
        <v>#REF!</v>
      </c>
      <c r="BK175" s="23" t="e">
        <f>IF(SUMPRODUCT($J$85:BJ$85,$J175:BJ175)&lt;0.5, "Pending", IF(BJ175&lt;0.5, "Complete", "In Progress"))</f>
        <v>#REF!</v>
      </c>
      <c r="BL175" s="22">
        <v>0</v>
      </c>
      <c r="BM175" s="22" t="e">
        <f t="shared" si="21"/>
        <v>#REF!</v>
      </c>
      <c r="BN175" s="23" t="e">
        <f>IF(SUMPRODUCT($J$85:BM$85,$J175:BM175)&lt;0.5, "Pending", IF(BM175&lt;0.5, "Complete", "In Progress"))</f>
        <v>#REF!</v>
      </c>
      <c r="BO175" s="22">
        <v>0</v>
      </c>
      <c r="BP175" s="22" t="e">
        <f t="shared" si="22"/>
        <v>#REF!</v>
      </c>
      <c r="BQ175" s="23" t="e">
        <f>IF(SUMPRODUCT($J$85:BP$85,$J175:BP175)&lt;0.5, "Pending", IF(BP175&lt;0.5, "Complete", "In Progress"))</f>
        <v>#REF!</v>
      </c>
      <c r="BR175" s="22">
        <v>0</v>
      </c>
      <c r="BS175" s="22" t="e">
        <f t="shared" si="23"/>
        <v>#REF!</v>
      </c>
      <c r="BT175" s="23" t="e">
        <f>IF(SUMPRODUCT($J$85:BS$85,$J175:BS175)&lt;0.5, "Pending", IF(BS175&lt;0.5, "Complete", "In Progress"))</f>
        <v>#REF!</v>
      </c>
      <c r="BU175" s="22">
        <v>0</v>
      </c>
      <c r="BV175" s="22" t="e">
        <f t="shared" si="24"/>
        <v>#REF!</v>
      </c>
      <c r="BW175" s="23" t="e">
        <f>IF(SUMPRODUCT($J$85:BV$85,$J175:BV175)&lt;0.5, "Pending", IF(BV175&lt;0.5, "Complete", "In Progress"))</f>
        <v>#REF!</v>
      </c>
      <c r="BX175" s="22">
        <v>0</v>
      </c>
      <c r="BY175" s="22" t="e">
        <f t="shared" si="25"/>
        <v>#REF!</v>
      </c>
      <c r="BZ175" s="23" t="e">
        <f>IF(SUMPRODUCT($J$85:BY$85,$J175:BY175)&lt;0.5, "Pending", IF(BY175&lt;0.5, "Complete", "In Progress"))</f>
        <v>#REF!</v>
      </c>
      <c r="CA175" s="22">
        <v>0</v>
      </c>
      <c r="CB175" s="22" t="e">
        <f t="shared" si="26"/>
        <v>#REF!</v>
      </c>
      <c r="CC175" s="23" t="e">
        <f>IF(SUMPRODUCT($J$85:CB$85,$J175:CB175)&lt;0.5, "Pending", IF(CB175&lt;0.5, "Complete", "In Progress"))</f>
        <v>#REF!</v>
      </c>
      <c r="CD175" s="24"/>
      <c r="CE175" s="25">
        <f>SUMPRODUCT($H$85:AY$85,$H175:AY175)</f>
        <v>43</v>
      </c>
    </row>
    <row r="176" spans="1:83" ht="13.8" customHeight="1" x14ac:dyDescent="0.25">
      <c r="A176" s="16" t="s">
        <v>104</v>
      </c>
      <c r="B176" s="16" t="s">
        <v>110</v>
      </c>
      <c r="C176" s="16" t="s">
        <v>522</v>
      </c>
      <c r="D176" s="17" t="s">
        <v>280</v>
      </c>
      <c r="E176" s="158" t="s">
        <v>470</v>
      </c>
      <c r="F176" s="158" t="s">
        <v>498</v>
      </c>
      <c r="G176" s="19"/>
      <c r="H176" s="20">
        <v>1</v>
      </c>
      <c r="I176" s="21">
        <v>6</v>
      </c>
      <c r="J176" s="21">
        <v>0</v>
      </c>
      <c r="K176" s="21">
        <v>0</v>
      </c>
      <c r="L176" s="21">
        <v>0</v>
      </c>
      <c r="M176" s="21">
        <v>0</v>
      </c>
      <c r="N176" s="21">
        <v>0</v>
      </c>
      <c r="O176" s="21">
        <v>0</v>
      </c>
      <c r="P176" s="21">
        <v>0</v>
      </c>
      <c r="Q176" s="21">
        <v>0</v>
      </c>
      <c r="R176" s="21">
        <v>0</v>
      </c>
      <c r="S176" s="21">
        <v>0</v>
      </c>
      <c r="T176" s="21">
        <v>0</v>
      </c>
      <c r="U176" s="21">
        <v>0</v>
      </c>
      <c r="V176" s="21">
        <v>0</v>
      </c>
      <c r="W176" s="21">
        <v>0</v>
      </c>
      <c r="X176" s="21">
        <v>0</v>
      </c>
      <c r="Y176" s="21">
        <v>0</v>
      </c>
      <c r="Z176" s="21">
        <v>0</v>
      </c>
      <c r="AA176" s="21">
        <v>0</v>
      </c>
      <c r="AB176" s="21">
        <v>0</v>
      </c>
      <c r="AC176" s="21">
        <v>0</v>
      </c>
      <c r="AD176" s="21">
        <v>0</v>
      </c>
      <c r="AE176" s="21">
        <v>0</v>
      </c>
      <c r="AF176" s="21">
        <v>0</v>
      </c>
      <c r="AG176" s="21">
        <v>0</v>
      </c>
      <c r="AH176" s="21">
        <v>0</v>
      </c>
      <c r="AI176" s="21">
        <v>0</v>
      </c>
      <c r="AJ176" s="21">
        <v>0</v>
      </c>
      <c r="AK176" s="21">
        <v>0</v>
      </c>
      <c r="AL176" s="21">
        <v>0</v>
      </c>
      <c r="AM176" s="21">
        <v>0</v>
      </c>
      <c r="AN176" s="21">
        <v>0</v>
      </c>
      <c r="AO176" s="21">
        <v>0</v>
      </c>
      <c r="AP176" s="21">
        <v>0</v>
      </c>
      <c r="AQ176" s="21">
        <v>0</v>
      </c>
      <c r="AR176" s="21">
        <v>0</v>
      </c>
      <c r="AS176" s="21">
        <v>0</v>
      </c>
      <c r="AT176" s="21">
        <v>0</v>
      </c>
      <c r="AU176" s="21">
        <v>0</v>
      </c>
      <c r="AV176" s="21">
        <v>0</v>
      </c>
      <c r="AW176" s="21">
        <v>0</v>
      </c>
      <c r="AX176" s="21">
        <v>0</v>
      </c>
      <c r="AY176" s="21">
        <v>0</v>
      </c>
      <c r="AZ176" s="22">
        <v>0</v>
      </c>
      <c r="BA176" s="22" t="e">
        <f>MAX(#REF!-AZ176,0)</f>
        <v>#REF!</v>
      </c>
      <c r="BB176" s="23" t="e">
        <f>IF(SUMPRODUCT($J$85:BA$85,$J176:BA176)&lt;0.5, "Pending", IF(BA176&lt;0.5, "Complete", "In Progress"))</f>
        <v>#REF!</v>
      </c>
      <c r="BC176" s="22">
        <v>0</v>
      </c>
      <c r="BD176" s="22" t="e">
        <f t="shared" si="18"/>
        <v>#REF!</v>
      </c>
      <c r="BE176" s="23" t="e">
        <f>IF(SUMPRODUCT($J$85:BD$85,$J176:BD176)&lt;0.5, "Pending", IF(BD176&lt;0.5, "Complete", "In Progress"))</f>
        <v>#REF!</v>
      </c>
      <c r="BF176" s="22">
        <v>0</v>
      </c>
      <c r="BG176" s="22" t="e">
        <f t="shared" si="19"/>
        <v>#REF!</v>
      </c>
      <c r="BH176" s="23" t="e">
        <f>IF(SUMPRODUCT($J$85:BG$85,$J176:BG176)&lt;0.5, "Pending", IF(BG176&lt;0.5, "Complete", "In Progress"))</f>
        <v>#REF!</v>
      </c>
      <c r="BI176" s="22">
        <v>0</v>
      </c>
      <c r="BJ176" s="22" t="e">
        <f t="shared" si="20"/>
        <v>#REF!</v>
      </c>
      <c r="BK176" s="23" t="e">
        <f>IF(SUMPRODUCT($J$85:BJ$85,$J176:BJ176)&lt;0.5, "Pending", IF(BJ176&lt;0.5, "Complete", "In Progress"))</f>
        <v>#REF!</v>
      </c>
      <c r="BL176" s="22">
        <v>0</v>
      </c>
      <c r="BM176" s="22" t="e">
        <f t="shared" si="21"/>
        <v>#REF!</v>
      </c>
      <c r="BN176" s="23" t="e">
        <f>IF(SUMPRODUCT($J$85:BM$85,$J176:BM176)&lt;0.5, "Pending", IF(BM176&lt;0.5, "Complete", "In Progress"))</f>
        <v>#REF!</v>
      </c>
      <c r="BO176" s="22">
        <v>0</v>
      </c>
      <c r="BP176" s="22" t="e">
        <f t="shared" si="22"/>
        <v>#REF!</v>
      </c>
      <c r="BQ176" s="23" t="e">
        <f>IF(SUMPRODUCT($J$85:BP$85,$J176:BP176)&lt;0.5, "Pending", IF(BP176&lt;0.5, "Complete", "In Progress"))</f>
        <v>#REF!</v>
      </c>
      <c r="BR176" s="22">
        <v>0</v>
      </c>
      <c r="BS176" s="22" t="e">
        <f t="shared" si="23"/>
        <v>#REF!</v>
      </c>
      <c r="BT176" s="23" t="e">
        <f>IF(SUMPRODUCT($J$85:BS$85,$J176:BS176)&lt;0.5, "Pending", IF(BS176&lt;0.5, "Complete", "In Progress"))</f>
        <v>#REF!</v>
      </c>
      <c r="BU176" s="22">
        <v>0</v>
      </c>
      <c r="BV176" s="22" t="e">
        <f t="shared" si="24"/>
        <v>#REF!</v>
      </c>
      <c r="BW176" s="23" t="e">
        <f>IF(SUMPRODUCT($J$85:BV$85,$J176:BV176)&lt;0.5, "Pending", IF(BV176&lt;0.5, "Complete", "In Progress"))</f>
        <v>#REF!</v>
      </c>
      <c r="BX176" s="22">
        <v>0</v>
      </c>
      <c r="BY176" s="22" t="e">
        <f t="shared" si="25"/>
        <v>#REF!</v>
      </c>
      <c r="BZ176" s="23" t="e">
        <f>IF(SUMPRODUCT($J$85:BY$85,$J176:BY176)&lt;0.5, "Pending", IF(BY176&lt;0.5, "Complete", "In Progress"))</f>
        <v>#REF!</v>
      </c>
      <c r="CA176" s="22">
        <v>0</v>
      </c>
      <c r="CB176" s="22" t="e">
        <f t="shared" si="26"/>
        <v>#REF!</v>
      </c>
      <c r="CC176" s="23" t="e">
        <f>IF(SUMPRODUCT($J$85:CB$85,$J176:CB176)&lt;0.5, "Pending", IF(CB176&lt;0.5, "Complete", "In Progress"))</f>
        <v>#REF!</v>
      </c>
      <c r="CD176" s="24"/>
      <c r="CE176" s="25">
        <f>SUMPRODUCT($H$85:AY$85,$H176:AY176)</f>
        <v>43</v>
      </c>
    </row>
    <row r="177" spans="1:83" ht="13.8" customHeight="1" x14ac:dyDescent="0.25">
      <c r="A177" s="16" t="s">
        <v>104</v>
      </c>
      <c r="B177" s="16" t="s">
        <v>110</v>
      </c>
      <c r="C177" s="16" t="s">
        <v>522</v>
      </c>
      <c r="D177" s="17" t="s">
        <v>281</v>
      </c>
      <c r="E177" s="158" t="s">
        <v>471</v>
      </c>
      <c r="F177" s="158" t="s">
        <v>496</v>
      </c>
      <c r="G177" s="19"/>
      <c r="H177" s="20">
        <v>1</v>
      </c>
      <c r="I177" s="21">
        <v>6</v>
      </c>
      <c r="J177" s="21">
        <v>0</v>
      </c>
      <c r="K177" s="21">
        <v>0</v>
      </c>
      <c r="L177" s="21">
        <v>0</v>
      </c>
      <c r="M177" s="21">
        <v>0</v>
      </c>
      <c r="N177" s="21">
        <v>0</v>
      </c>
      <c r="O177" s="21">
        <v>0</v>
      </c>
      <c r="P177" s="21">
        <v>0</v>
      </c>
      <c r="Q177" s="21">
        <v>0</v>
      </c>
      <c r="R177" s="21">
        <v>0</v>
      </c>
      <c r="S177" s="21">
        <v>0</v>
      </c>
      <c r="T177" s="21">
        <v>0</v>
      </c>
      <c r="U177" s="21">
        <v>0</v>
      </c>
      <c r="V177" s="21">
        <v>0</v>
      </c>
      <c r="W177" s="21">
        <v>0</v>
      </c>
      <c r="X177" s="21">
        <v>0</v>
      </c>
      <c r="Y177" s="21">
        <v>0</v>
      </c>
      <c r="Z177" s="21">
        <v>0</v>
      </c>
      <c r="AA177" s="21">
        <v>0</v>
      </c>
      <c r="AB177" s="21">
        <v>0</v>
      </c>
      <c r="AC177" s="21">
        <v>0</v>
      </c>
      <c r="AD177" s="21">
        <v>0</v>
      </c>
      <c r="AE177" s="21">
        <v>0</v>
      </c>
      <c r="AF177" s="21">
        <v>0</v>
      </c>
      <c r="AG177" s="21">
        <v>0</v>
      </c>
      <c r="AH177" s="21">
        <v>0</v>
      </c>
      <c r="AI177" s="21">
        <v>0</v>
      </c>
      <c r="AJ177" s="21">
        <v>0</v>
      </c>
      <c r="AK177" s="21">
        <v>0</v>
      </c>
      <c r="AL177" s="21">
        <v>0</v>
      </c>
      <c r="AM177" s="21">
        <v>0</v>
      </c>
      <c r="AN177" s="21">
        <v>0</v>
      </c>
      <c r="AO177" s="21">
        <v>0</v>
      </c>
      <c r="AP177" s="21">
        <v>0</v>
      </c>
      <c r="AQ177" s="21">
        <v>0</v>
      </c>
      <c r="AR177" s="21">
        <v>0</v>
      </c>
      <c r="AS177" s="21">
        <v>0</v>
      </c>
      <c r="AT177" s="21">
        <v>0</v>
      </c>
      <c r="AU177" s="21">
        <v>0</v>
      </c>
      <c r="AV177" s="21">
        <v>0</v>
      </c>
      <c r="AW177" s="21">
        <v>0</v>
      </c>
      <c r="AX177" s="21">
        <v>0</v>
      </c>
      <c r="AY177" s="21">
        <v>0</v>
      </c>
      <c r="AZ177" s="22">
        <v>0</v>
      </c>
      <c r="BA177" s="22" t="e">
        <f>MAX(#REF!-AZ177,0)</f>
        <v>#REF!</v>
      </c>
      <c r="BB177" s="23" t="e">
        <f>IF(SUMPRODUCT($J$85:BA$85,$J177:BA177)&lt;0.5, "Pending", IF(BA177&lt;0.5, "Complete", "In Progress"))</f>
        <v>#REF!</v>
      </c>
      <c r="BC177" s="22">
        <v>0</v>
      </c>
      <c r="BD177" s="22" t="e">
        <f t="shared" si="18"/>
        <v>#REF!</v>
      </c>
      <c r="BE177" s="23" t="e">
        <f>IF(SUMPRODUCT($J$85:BD$85,$J177:BD177)&lt;0.5, "Pending", IF(BD177&lt;0.5, "Complete", "In Progress"))</f>
        <v>#REF!</v>
      </c>
      <c r="BF177" s="22">
        <v>0</v>
      </c>
      <c r="BG177" s="22" t="e">
        <f t="shared" si="19"/>
        <v>#REF!</v>
      </c>
      <c r="BH177" s="23" t="e">
        <f>IF(SUMPRODUCT($J$85:BG$85,$J177:BG177)&lt;0.5, "Pending", IF(BG177&lt;0.5, "Complete", "In Progress"))</f>
        <v>#REF!</v>
      </c>
      <c r="BI177" s="22">
        <v>0</v>
      </c>
      <c r="BJ177" s="22" t="e">
        <f t="shared" si="20"/>
        <v>#REF!</v>
      </c>
      <c r="BK177" s="23" t="e">
        <f>IF(SUMPRODUCT($J$85:BJ$85,$J177:BJ177)&lt;0.5, "Pending", IF(BJ177&lt;0.5, "Complete", "In Progress"))</f>
        <v>#REF!</v>
      </c>
      <c r="BL177" s="22">
        <v>0</v>
      </c>
      <c r="BM177" s="22" t="e">
        <f t="shared" si="21"/>
        <v>#REF!</v>
      </c>
      <c r="BN177" s="23" t="e">
        <f>IF(SUMPRODUCT($J$85:BM$85,$J177:BM177)&lt;0.5, "Pending", IF(BM177&lt;0.5, "Complete", "In Progress"))</f>
        <v>#REF!</v>
      </c>
      <c r="BO177" s="22">
        <v>0</v>
      </c>
      <c r="BP177" s="22" t="e">
        <f t="shared" si="22"/>
        <v>#REF!</v>
      </c>
      <c r="BQ177" s="23" t="e">
        <f>IF(SUMPRODUCT($J$85:BP$85,$J177:BP177)&lt;0.5, "Pending", IF(BP177&lt;0.5, "Complete", "In Progress"))</f>
        <v>#REF!</v>
      </c>
      <c r="BR177" s="22">
        <v>0</v>
      </c>
      <c r="BS177" s="22" t="e">
        <f t="shared" si="23"/>
        <v>#REF!</v>
      </c>
      <c r="BT177" s="23" t="e">
        <f>IF(SUMPRODUCT($J$85:BS$85,$J177:BS177)&lt;0.5, "Pending", IF(BS177&lt;0.5, "Complete", "In Progress"))</f>
        <v>#REF!</v>
      </c>
      <c r="BU177" s="22">
        <v>0</v>
      </c>
      <c r="BV177" s="22" t="e">
        <f t="shared" si="24"/>
        <v>#REF!</v>
      </c>
      <c r="BW177" s="23" t="e">
        <f>IF(SUMPRODUCT($J$85:BV$85,$J177:BV177)&lt;0.5, "Pending", IF(BV177&lt;0.5, "Complete", "In Progress"))</f>
        <v>#REF!</v>
      </c>
      <c r="BX177" s="22">
        <v>0</v>
      </c>
      <c r="BY177" s="22" t="e">
        <f t="shared" si="25"/>
        <v>#REF!</v>
      </c>
      <c r="BZ177" s="23" t="e">
        <f>IF(SUMPRODUCT($J$85:BY$85,$J177:BY177)&lt;0.5, "Pending", IF(BY177&lt;0.5, "Complete", "In Progress"))</f>
        <v>#REF!</v>
      </c>
      <c r="CA177" s="22">
        <v>0</v>
      </c>
      <c r="CB177" s="22" t="e">
        <f t="shared" si="26"/>
        <v>#REF!</v>
      </c>
      <c r="CC177" s="23" t="e">
        <f>IF(SUMPRODUCT($J$85:CB$85,$J177:CB177)&lt;0.5, "Pending", IF(CB177&lt;0.5, "Complete", "In Progress"))</f>
        <v>#REF!</v>
      </c>
      <c r="CD177" s="24"/>
      <c r="CE177" s="25">
        <f>SUMPRODUCT($H$85:AY$85,$H177:AY177)</f>
        <v>43</v>
      </c>
    </row>
    <row r="178" spans="1:83" ht="13.8" customHeight="1" x14ac:dyDescent="0.25">
      <c r="A178" s="16" t="s">
        <v>104</v>
      </c>
      <c r="B178" s="16" t="s">
        <v>121</v>
      </c>
      <c r="C178" s="16" t="s">
        <v>522</v>
      </c>
      <c r="D178" s="17" t="s">
        <v>282</v>
      </c>
      <c r="E178" s="158" t="s">
        <v>472</v>
      </c>
      <c r="F178" s="158" t="s">
        <v>495</v>
      </c>
      <c r="G178" s="169"/>
      <c r="H178" s="20">
        <v>1</v>
      </c>
      <c r="I178" s="21">
        <v>6</v>
      </c>
      <c r="J178" s="21">
        <v>0</v>
      </c>
      <c r="K178" s="21">
        <v>0</v>
      </c>
      <c r="L178" s="21">
        <v>0</v>
      </c>
      <c r="M178" s="21">
        <v>0</v>
      </c>
      <c r="N178" s="21">
        <v>0</v>
      </c>
      <c r="O178" s="21">
        <v>0</v>
      </c>
      <c r="P178" s="21">
        <v>0</v>
      </c>
      <c r="Q178" s="21">
        <v>0</v>
      </c>
      <c r="R178" s="21">
        <v>0</v>
      </c>
      <c r="S178" s="21">
        <v>0</v>
      </c>
      <c r="T178" s="21">
        <v>0</v>
      </c>
      <c r="U178" s="21">
        <v>0</v>
      </c>
      <c r="V178" s="21">
        <v>0</v>
      </c>
      <c r="W178" s="21">
        <v>0</v>
      </c>
      <c r="X178" s="21">
        <v>0</v>
      </c>
      <c r="Y178" s="21">
        <v>0</v>
      </c>
      <c r="Z178" s="21">
        <v>0</v>
      </c>
      <c r="AA178" s="21">
        <v>0</v>
      </c>
      <c r="AB178" s="21">
        <v>0</v>
      </c>
      <c r="AC178" s="21">
        <v>0</v>
      </c>
      <c r="AD178" s="21">
        <v>0</v>
      </c>
      <c r="AE178" s="21">
        <v>0</v>
      </c>
      <c r="AF178" s="21">
        <v>0</v>
      </c>
      <c r="AG178" s="21">
        <v>0</v>
      </c>
      <c r="AH178" s="21">
        <v>0</v>
      </c>
      <c r="AI178" s="21">
        <v>0</v>
      </c>
      <c r="AJ178" s="21">
        <v>0</v>
      </c>
      <c r="AK178" s="21">
        <v>0</v>
      </c>
      <c r="AL178" s="21">
        <v>0</v>
      </c>
      <c r="AM178" s="21">
        <v>0</v>
      </c>
      <c r="AN178" s="21">
        <v>0</v>
      </c>
      <c r="AO178" s="21">
        <v>0</v>
      </c>
      <c r="AP178" s="21">
        <v>0</v>
      </c>
      <c r="AQ178" s="21">
        <v>0</v>
      </c>
      <c r="AR178" s="21">
        <v>0</v>
      </c>
      <c r="AS178" s="21">
        <v>0</v>
      </c>
      <c r="AT178" s="21">
        <v>0</v>
      </c>
      <c r="AU178" s="21">
        <v>0</v>
      </c>
      <c r="AV178" s="21">
        <v>0</v>
      </c>
      <c r="AW178" s="21">
        <v>0</v>
      </c>
      <c r="AX178" s="21">
        <v>0</v>
      </c>
      <c r="AY178" s="21">
        <v>0</v>
      </c>
      <c r="AZ178" s="22">
        <v>0</v>
      </c>
      <c r="BA178" s="22" t="e">
        <f>MAX(#REF!-AZ178,0)</f>
        <v>#REF!</v>
      </c>
      <c r="BB178" s="23" t="e">
        <f>IF(SUMPRODUCT($J$85:BA$85,$J178:BA178)&lt;0.5, "Pending", IF(BA178&lt;0.5, "Complete", "In Progress"))</f>
        <v>#REF!</v>
      </c>
      <c r="BC178" s="22">
        <v>0</v>
      </c>
      <c r="BD178" s="22" t="e">
        <f t="shared" si="18"/>
        <v>#REF!</v>
      </c>
      <c r="BE178" s="23" t="e">
        <f>IF(SUMPRODUCT($J$85:BD$85,$J178:BD178)&lt;0.5, "Pending", IF(BD178&lt;0.5, "Complete", "In Progress"))</f>
        <v>#REF!</v>
      </c>
      <c r="BF178" s="22">
        <v>0</v>
      </c>
      <c r="BG178" s="22" t="e">
        <f t="shared" si="19"/>
        <v>#REF!</v>
      </c>
      <c r="BH178" s="23" t="e">
        <f>IF(SUMPRODUCT($J$85:BG$85,$J178:BG178)&lt;0.5, "Pending", IF(BG178&lt;0.5, "Complete", "In Progress"))</f>
        <v>#REF!</v>
      </c>
      <c r="BI178" s="22">
        <v>0</v>
      </c>
      <c r="BJ178" s="22" t="e">
        <f t="shared" si="20"/>
        <v>#REF!</v>
      </c>
      <c r="BK178" s="23" t="e">
        <f>IF(SUMPRODUCT($J$85:BJ$85,$J178:BJ178)&lt;0.5, "Pending", IF(BJ178&lt;0.5, "Complete", "In Progress"))</f>
        <v>#REF!</v>
      </c>
      <c r="BL178" s="22">
        <v>0</v>
      </c>
      <c r="BM178" s="22" t="e">
        <f t="shared" si="21"/>
        <v>#REF!</v>
      </c>
      <c r="BN178" s="23" t="e">
        <f>IF(SUMPRODUCT($J$85:BM$85,$J178:BM178)&lt;0.5, "Pending", IF(BM178&lt;0.5, "Complete", "In Progress"))</f>
        <v>#REF!</v>
      </c>
      <c r="BO178" s="22">
        <v>0</v>
      </c>
      <c r="BP178" s="22" t="e">
        <f t="shared" si="22"/>
        <v>#REF!</v>
      </c>
      <c r="BQ178" s="23" t="e">
        <f>IF(SUMPRODUCT($J$85:BP$85,$J178:BP178)&lt;0.5, "Pending", IF(BP178&lt;0.5, "Complete", "In Progress"))</f>
        <v>#REF!</v>
      </c>
      <c r="BR178" s="22">
        <v>0</v>
      </c>
      <c r="BS178" s="22" t="e">
        <f t="shared" si="23"/>
        <v>#REF!</v>
      </c>
      <c r="BT178" s="23" t="e">
        <f>IF(SUMPRODUCT($J$85:BS$85,$J178:BS178)&lt;0.5, "Pending", IF(BS178&lt;0.5, "Complete", "In Progress"))</f>
        <v>#REF!</v>
      </c>
      <c r="BU178" s="22">
        <v>0</v>
      </c>
      <c r="BV178" s="22" t="e">
        <f t="shared" si="24"/>
        <v>#REF!</v>
      </c>
      <c r="BW178" s="23" t="e">
        <f>IF(SUMPRODUCT($J$85:BV$85,$J178:BV178)&lt;0.5, "Pending", IF(BV178&lt;0.5, "Complete", "In Progress"))</f>
        <v>#REF!</v>
      </c>
      <c r="BX178" s="22">
        <v>0</v>
      </c>
      <c r="BY178" s="22" t="e">
        <f t="shared" si="25"/>
        <v>#REF!</v>
      </c>
      <c r="BZ178" s="23" t="e">
        <f>IF(SUMPRODUCT($J$85:BY$85,$J178:BY178)&lt;0.5, "Pending", IF(BY178&lt;0.5, "Complete", "In Progress"))</f>
        <v>#REF!</v>
      </c>
      <c r="CA178" s="22">
        <v>0</v>
      </c>
      <c r="CB178" s="22" t="e">
        <f t="shared" si="26"/>
        <v>#REF!</v>
      </c>
      <c r="CC178" s="23" t="e">
        <f>IF(SUMPRODUCT($J$85:CB$85,$J178:CB178)&lt;0.5, "Pending", IF(CB178&lt;0.5, "Complete", "In Progress"))</f>
        <v>#REF!</v>
      </c>
      <c r="CD178" s="24"/>
      <c r="CE178" s="25">
        <f>SUMPRODUCT($H$85:AY$85,$H178:AY178)</f>
        <v>43</v>
      </c>
    </row>
    <row r="179" spans="1:83" ht="13.8" customHeight="1" x14ac:dyDescent="0.25">
      <c r="A179" s="16" t="s">
        <v>104</v>
      </c>
      <c r="B179" s="16" t="s">
        <v>122</v>
      </c>
      <c r="C179" s="16" t="s">
        <v>522</v>
      </c>
      <c r="D179" s="17" t="s">
        <v>283</v>
      </c>
      <c r="E179" s="158" t="s">
        <v>473</v>
      </c>
      <c r="F179" s="158" t="s">
        <v>493</v>
      </c>
      <c r="G179" s="168"/>
      <c r="H179" s="20">
        <v>1</v>
      </c>
      <c r="I179" s="21">
        <v>56</v>
      </c>
      <c r="J179" s="21">
        <v>0</v>
      </c>
      <c r="K179" s="21">
        <v>0</v>
      </c>
      <c r="L179" s="21">
        <v>0</v>
      </c>
      <c r="M179" s="21">
        <v>0</v>
      </c>
      <c r="N179" s="21">
        <v>0</v>
      </c>
      <c r="O179" s="21">
        <v>0</v>
      </c>
      <c r="P179" s="21">
        <v>0</v>
      </c>
      <c r="Q179" s="21">
        <v>0</v>
      </c>
      <c r="R179" s="21">
        <v>0</v>
      </c>
      <c r="S179" s="21">
        <v>0</v>
      </c>
      <c r="T179" s="21">
        <v>0</v>
      </c>
      <c r="U179" s="21">
        <v>0</v>
      </c>
      <c r="V179" s="21">
        <v>0</v>
      </c>
      <c r="W179" s="21">
        <v>0</v>
      </c>
      <c r="X179" s="21">
        <v>0</v>
      </c>
      <c r="Y179" s="21">
        <v>0</v>
      </c>
      <c r="Z179" s="21">
        <v>0</v>
      </c>
      <c r="AA179" s="21">
        <v>0</v>
      </c>
      <c r="AB179" s="21">
        <v>0</v>
      </c>
      <c r="AC179" s="21">
        <v>0</v>
      </c>
      <c r="AD179" s="21">
        <v>0</v>
      </c>
      <c r="AE179" s="21">
        <v>0</v>
      </c>
      <c r="AF179" s="21">
        <v>0</v>
      </c>
      <c r="AG179" s="21">
        <v>0</v>
      </c>
      <c r="AH179" s="21">
        <v>0</v>
      </c>
      <c r="AI179" s="21">
        <v>0</v>
      </c>
      <c r="AJ179" s="21">
        <v>0</v>
      </c>
      <c r="AK179" s="21">
        <v>0</v>
      </c>
      <c r="AL179" s="21">
        <v>0</v>
      </c>
      <c r="AM179" s="21">
        <v>0</v>
      </c>
      <c r="AN179" s="21">
        <v>0</v>
      </c>
      <c r="AO179" s="21">
        <v>0</v>
      </c>
      <c r="AP179" s="21">
        <v>0</v>
      </c>
      <c r="AQ179" s="21">
        <v>0</v>
      </c>
      <c r="AR179" s="21">
        <v>0</v>
      </c>
      <c r="AS179" s="21">
        <v>0</v>
      </c>
      <c r="AT179" s="21">
        <v>0</v>
      </c>
      <c r="AU179" s="21">
        <v>0</v>
      </c>
      <c r="AV179" s="21">
        <v>0</v>
      </c>
      <c r="AW179" s="21">
        <v>0</v>
      </c>
      <c r="AX179" s="21">
        <v>0</v>
      </c>
      <c r="AY179" s="21">
        <v>0</v>
      </c>
      <c r="AZ179" s="22">
        <v>0</v>
      </c>
      <c r="BA179" s="22" t="e">
        <f>MAX(#REF!-AZ179,0)</f>
        <v>#REF!</v>
      </c>
      <c r="BB179" s="23" t="e">
        <f>IF(SUMPRODUCT($J$85:BA$85,$J179:BA179)&lt;0.5, "Pending", IF(BA179&lt;0.5, "Complete", "In Progress"))</f>
        <v>#REF!</v>
      </c>
      <c r="BC179" s="22">
        <v>0</v>
      </c>
      <c r="BD179" s="22" t="e">
        <f t="shared" si="18"/>
        <v>#REF!</v>
      </c>
      <c r="BE179" s="23" t="e">
        <f>IF(SUMPRODUCT($J$85:BD$85,$J179:BD179)&lt;0.5, "Pending", IF(BD179&lt;0.5, "Complete", "In Progress"))</f>
        <v>#REF!</v>
      </c>
      <c r="BF179" s="22">
        <v>0</v>
      </c>
      <c r="BG179" s="22" t="e">
        <f t="shared" si="19"/>
        <v>#REF!</v>
      </c>
      <c r="BH179" s="23" t="e">
        <f>IF(SUMPRODUCT($J$85:BG$85,$J179:BG179)&lt;0.5, "Pending", IF(BG179&lt;0.5, "Complete", "In Progress"))</f>
        <v>#REF!</v>
      </c>
      <c r="BI179" s="22">
        <v>0</v>
      </c>
      <c r="BJ179" s="22" t="e">
        <f t="shared" si="20"/>
        <v>#REF!</v>
      </c>
      <c r="BK179" s="23" t="e">
        <f>IF(SUMPRODUCT($J$85:BJ$85,$J179:BJ179)&lt;0.5, "Pending", IF(BJ179&lt;0.5, "Complete", "In Progress"))</f>
        <v>#REF!</v>
      </c>
      <c r="BL179" s="22">
        <v>0</v>
      </c>
      <c r="BM179" s="22" t="e">
        <f t="shared" si="21"/>
        <v>#REF!</v>
      </c>
      <c r="BN179" s="23" t="e">
        <f>IF(SUMPRODUCT($J$85:BM$85,$J179:BM179)&lt;0.5, "Pending", IF(BM179&lt;0.5, "Complete", "In Progress"))</f>
        <v>#REF!</v>
      </c>
      <c r="BO179" s="22">
        <v>0</v>
      </c>
      <c r="BP179" s="22" t="e">
        <f t="shared" si="22"/>
        <v>#REF!</v>
      </c>
      <c r="BQ179" s="23" t="e">
        <f>IF(SUMPRODUCT($J$85:BP$85,$J179:BP179)&lt;0.5, "Pending", IF(BP179&lt;0.5, "Complete", "In Progress"))</f>
        <v>#REF!</v>
      </c>
      <c r="BR179" s="22">
        <v>0</v>
      </c>
      <c r="BS179" s="22" t="e">
        <f t="shared" si="23"/>
        <v>#REF!</v>
      </c>
      <c r="BT179" s="23" t="e">
        <f>IF(SUMPRODUCT($J$85:BS$85,$J179:BS179)&lt;0.5, "Pending", IF(BS179&lt;0.5, "Complete", "In Progress"))</f>
        <v>#REF!</v>
      </c>
      <c r="BU179" s="22">
        <v>0</v>
      </c>
      <c r="BV179" s="22" t="e">
        <f t="shared" si="24"/>
        <v>#REF!</v>
      </c>
      <c r="BW179" s="23" t="e">
        <f>IF(SUMPRODUCT($J$85:BV$85,$J179:BV179)&lt;0.5, "Pending", IF(BV179&lt;0.5, "Complete", "In Progress"))</f>
        <v>#REF!</v>
      </c>
      <c r="BX179" s="22">
        <v>0</v>
      </c>
      <c r="BY179" s="22" t="e">
        <f t="shared" si="25"/>
        <v>#REF!</v>
      </c>
      <c r="BZ179" s="23" t="e">
        <f>IF(SUMPRODUCT($J$85:BY$85,$J179:BY179)&lt;0.5, "Pending", IF(BY179&lt;0.5, "Complete", "In Progress"))</f>
        <v>#REF!</v>
      </c>
      <c r="CA179" s="22">
        <v>0</v>
      </c>
      <c r="CB179" s="22" t="e">
        <f t="shared" si="26"/>
        <v>#REF!</v>
      </c>
      <c r="CC179" s="23" t="e">
        <f>IF(SUMPRODUCT($J$85:CB$85,$J179:CB179)&lt;0.5, "Pending", IF(CB179&lt;0.5, "Complete", "In Progress"))</f>
        <v>#REF!</v>
      </c>
      <c r="CD179" s="24"/>
      <c r="CE179" s="25">
        <f>SUMPRODUCT($H$85:AY$85,$H179:AY179)</f>
        <v>393</v>
      </c>
    </row>
    <row r="180" spans="1:83" ht="13.8" customHeight="1" x14ac:dyDescent="0.25">
      <c r="A180" s="16" t="s">
        <v>104</v>
      </c>
      <c r="B180" s="16" t="s">
        <v>121</v>
      </c>
      <c r="C180" s="16" t="s">
        <v>522</v>
      </c>
      <c r="D180" s="17" t="s">
        <v>284</v>
      </c>
      <c r="E180" s="158" t="s">
        <v>474</v>
      </c>
      <c r="F180" s="158" t="s">
        <v>494</v>
      </c>
      <c r="G180" s="19"/>
      <c r="H180" s="20">
        <v>1</v>
      </c>
      <c r="I180" s="21">
        <v>6</v>
      </c>
      <c r="J180" s="21">
        <v>0</v>
      </c>
      <c r="K180" s="21">
        <v>0</v>
      </c>
      <c r="L180" s="21">
        <v>0</v>
      </c>
      <c r="M180" s="21">
        <v>0</v>
      </c>
      <c r="N180" s="21">
        <v>0</v>
      </c>
      <c r="O180" s="21">
        <v>0</v>
      </c>
      <c r="P180" s="21">
        <v>0</v>
      </c>
      <c r="Q180" s="21">
        <v>0</v>
      </c>
      <c r="R180" s="21">
        <v>0</v>
      </c>
      <c r="S180" s="21">
        <v>0</v>
      </c>
      <c r="T180" s="21">
        <v>0</v>
      </c>
      <c r="U180" s="21">
        <v>0</v>
      </c>
      <c r="V180" s="21">
        <v>0</v>
      </c>
      <c r="W180" s="21">
        <v>0</v>
      </c>
      <c r="X180" s="21">
        <v>0</v>
      </c>
      <c r="Y180" s="21">
        <v>0</v>
      </c>
      <c r="Z180" s="21">
        <v>0</v>
      </c>
      <c r="AA180" s="21">
        <v>0</v>
      </c>
      <c r="AB180" s="21">
        <v>0</v>
      </c>
      <c r="AC180" s="21">
        <v>0</v>
      </c>
      <c r="AD180" s="21">
        <v>0</v>
      </c>
      <c r="AE180" s="21">
        <v>0</v>
      </c>
      <c r="AF180" s="21">
        <v>0</v>
      </c>
      <c r="AG180" s="21">
        <v>0</v>
      </c>
      <c r="AH180" s="21">
        <v>0</v>
      </c>
      <c r="AI180" s="21">
        <v>0</v>
      </c>
      <c r="AJ180" s="21">
        <v>0</v>
      </c>
      <c r="AK180" s="21">
        <v>0</v>
      </c>
      <c r="AL180" s="21">
        <v>0</v>
      </c>
      <c r="AM180" s="21">
        <v>0</v>
      </c>
      <c r="AN180" s="21">
        <v>0</v>
      </c>
      <c r="AO180" s="21">
        <v>0</v>
      </c>
      <c r="AP180" s="21">
        <v>0</v>
      </c>
      <c r="AQ180" s="21">
        <v>0</v>
      </c>
      <c r="AR180" s="21">
        <v>0</v>
      </c>
      <c r="AS180" s="21">
        <v>0</v>
      </c>
      <c r="AT180" s="21">
        <v>0</v>
      </c>
      <c r="AU180" s="21">
        <v>0</v>
      </c>
      <c r="AV180" s="21">
        <v>0</v>
      </c>
      <c r="AW180" s="21">
        <v>0</v>
      </c>
      <c r="AX180" s="21">
        <v>0</v>
      </c>
      <c r="AY180" s="21">
        <v>0</v>
      </c>
      <c r="AZ180" s="22">
        <v>0</v>
      </c>
      <c r="BA180" s="22" t="e">
        <f>MAX(#REF!-AZ180,0)</f>
        <v>#REF!</v>
      </c>
      <c r="BB180" s="23" t="e">
        <f>IF(SUMPRODUCT($J$85:BA$85,$J180:BA180)&lt;0.5, "Pending", IF(BA180&lt;0.5, "Complete", "In Progress"))</f>
        <v>#REF!</v>
      </c>
      <c r="BC180" s="22">
        <v>0</v>
      </c>
      <c r="BD180" s="22" t="e">
        <f t="shared" si="18"/>
        <v>#REF!</v>
      </c>
      <c r="BE180" s="23" t="e">
        <f>IF(SUMPRODUCT($J$85:BD$85,$J180:BD180)&lt;0.5, "Pending", IF(BD180&lt;0.5, "Complete", "In Progress"))</f>
        <v>#REF!</v>
      </c>
      <c r="BF180" s="22">
        <v>0</v>
      </c>
      <c r="BG180" s="22" t="e">
        <f t="shared" si="19"/>
        <v>#REF!</v>
      </c>
      <c r="BH180" s="23" t="e">
        <f>IF(SUMPRODUCT($J$85:BG$85,$J180:BG180)&lt;0.5, "Pending", IF(BG180&lt;0.5, "Complete", "In Progress"))</f>
        <v>#REF!</v>
      </c>
      <c r="BI180" s="22">
        <v>0</v>
      </c>
      <c r="BJ180" s="22" t="e">
        <f t="shared" si="20"/>
        <v>#REF!</v>
      </c>
      <c r="BK180" s="23" t="e">
        <f>IF(SUMPRODUCT($J$85:BJ$85,$J180:BJ180)&lt;0.5, "Pending", IF(BJ180&lt;0.5, "Complete", "In Progress"))</f>
        <v>#REF!</v>
      </c>
      <c r="BL180" s="22">
        <v>0</v>
      </c>
      <c r="BM180" s="22" t="e">
        <f t="shared" si="21"/>
        <v>#REF!</v>
      </c>
      <c r="BN180" s="23" t="e">
        <f>IF(SUMPRODUCT($J$85:BM$85,$J180:BM180)&lt;0.5, "Pending", IF(BM180&lt;0.5, "Complete", "In Progress"))</f>
        <v>#REF!</v>
      </c>
      <c r="BO180" s="22">
        <v>0</v>
      </c>
      <c r="BP180" s="22" t="e">
        <f t="shared" si="22"/>
        <v>#REF!</v>
      </c>
      <c r="BQ180" s="23" t="e">
        <f>IF(SUMPRODUCT($J$85:BP$85,$J180:BP180)&lt;0.5, "Pending", IF(BP180&lt;0.5, "Complete", "In Progress"))</f>
        <v>#REF!</v>
      </c>
      <c r="BR180" s="22">
        <v>0</v>
      </c>
      <c r="BS180" s="22" t="e">
        <f t="shared" si="23"/>
        <v>#REF!</v>
      </c>
      <c r="BT180" s="23" t="e">
        <f>IF(SUMPRODUCT($J$85:BS$85,$J180:BS180)&lt;0.5, "Pending", IF(BS180&lt;0.5, "Complete", "In Progress"))</f>
        <v>#REF!</v>
      </c>
      <c r="BU180" s="22">
        <v>0</v>
      </c>
      <c r="BV180" s="22" t="e">
        <f t="shared" si="24"/>
        <v>#REF!</v>
      </c>
      <c r="BW180" s="23" t="e">
        <f>IF(SUMPRODUCT($J$85:BV$85,$J180:BV180)&lt;0.5, "Pending", IF(BV180&lt;0.5, "Complete", "In Progress"))</f>
        <v>#REF!</v>
      </c>
      <c r="BX180" s="22">
        <v>0</v>
      </c>
      <c r="BY180" s="22" t="e">
        <f t="shared" si="25"/>
        <v>#REF!</v>
      </c>
      <c r="BZ180" s="23" t="e">
        <f>IF(SUMPRODUCT($J$85:BY$85,$J180:BY180)&lt;0.5, "Pending", IF(BY180&lt;0.5, "Complete", "In Progress"))</f>
        <v>#REF!</v>
      </c>
      <c r="CA180" s="22">
        <v>0</v>
      </c>
      <c r="CB180" s="22" t="e">
        <f t="shared" si="26"/>
        <v>#REF!</v>
      </c>
      <c r="CC180" s="23" t="e">
        <f>IF(SUMPRODUCT($J$85:CB$85,$J180:CB180)&lt;0.5, "Pending", IF(CB180&lt;0.5, "Complete", "In Progress"))</f>
        <v>#REF!</v>
      </c>
      <c r="CD180" s="24"/>
      <c r="CE180" s="25">
        <f>SUMPRODUCT($H$85:AY$85,$H180:AY180)</f>
        <v>43</v>
      </c>
    </row>
    <row r="181" spans="1:83" ht="13.8" customHeight="1" x14ac:dyDescent="0.25">
      <c r="A181" s="16" t="s">
        <v>104</v>
      </c>
      <c r="B181" s="16" t="s">
        <v>118</v>
      </c>
      <c r="C181" s="16" t="s">
        <v>522</v>
      </c>
      <c r="D181" s="17" t="s">
        <v>285</v>
      </c>
      <c r="E181" s="158" t="s">
        <v>475</v>
      </c>
      <c r="F181" s="158" t="s">
        <v>497</v>
      </c>
      <c r="G181" s="19"/>
      <c r="H181" s="20">
        <v>1</v>
      </c>
      <c r="I181" s="21">
        <v>6</v>
      </c>
      <c r="J181" s="21">
        <v>0</v>
      </c>
      <c r="K181" s="21">
        <v>0</v>
      </c>
      <c r="L181" s="21">
        <v>0</v>
      </c>
      <c r="M181" s="21">
        <v>0</v>
      </c>
      <c r="N181" s="21">
        <v>0</v>
      </c>
      <c r="O181" s="21">
        <v>0</v>
      </c>
      <c r="P181" s="21">
        <v>0</v>
      </c>
      <c r="Q181" s="21">
        <v>0</v>
      </c>
      <c r="R181" s="21">
        <v>0</v>
      </c>
      <c r="S181" s="21">
        <v>0</v>
      </c>
      <c r="T181" s="21">
        <v>0</v>
      </c>
      <c r="U181" s="21">
        <v>0</v>
      </c>
      <c r="V181" s="21">
        <v>0</v>
      </c>
      <c r="W181" s="21">
        <v>0</v>
      </c>
      <c r="X181" s="21">
        <v>0</v>
      </c>
      <c r="Y181" s="21">
        <v>0</v>
      </c>
      <c r="Z181" s="21">
        <v>0</v>
      </c>
      <c r="AA181" s="21">
        <v>0</v>
      </c>
      <c r="AB181" s="21">
        <v>0</v>
      </c>
      <c r="AC181" s="21">
        <v>0</v>
      </c>
      <c r="AD181" s="21">
        <v>0</v>
      </c>
      <c r="AE181" s="21">
        <v>0</v>
      </c>
      <c r="AF181" s="21">
        <v>0</v>
      </c>
      <c r="AG181" s="21">
        <v>0</v>
      </c>
      <c r="AH181" s="21">
        <v>0</v>
      </c>
      <c r="AI181" s="21">
        <v>0</v>
      </c>
      <c r="AJ181" s="21">
        <v>0</v>
      </c>
      <c r="AK181" s="21">
        <v>0</v>
      </c>
      <c r="AL181" s="21">
        <v>0</v>
      </c>
      <c r="AM181" s="21">
        <v>0</v>
      </c>
      <c r="AN181" s="21">
        <v>0</v>
      </c>
      <c r="AO181" s="21">
        <v>0</v>
      </c>
      <c r="AP181" s="21">
        <v>0</v>
      </c>
      <c r="AQ181" s="21">
        <v>0</v>
      </c>
      <c r="AR181" s="21">
        <v>0</v>
      </c>
      <c r="AS181" s="21">
        <v>0</v>
      </c>
      <c r="AT181" s="21">
        <v>0</v>
      </c>
      <c r="AU181" s="21">
        <v>0</v>
      </c>
      <c r="AV181" s="21">
        <v>0</v>
      </c>
      <c r="AW181" s="21">
        <v>0</v>
      </c>
      <c r="AX181" s="21">
        <v>0</v>
      </c>
      <c r="AY181" s="21">
        <v>0</v>
      </c>
      <c r="AZ181" s="22">
        <v>0</v>
      </c>
      <c r="BA181" s="22" t="e">
        <f>MAX(#REF!-AZ181,0)</f>
        <v>#REF!</v>
      </c>
      <c r="BB181" s="23" t="e">
        <f>IF(SUMPRODUCT($J$85:BA$85,$J181:BA181)&lt;0.5, "Pending", IF(BA181&lt;0.5, "Complete", "In Progress"))</f>
        <v>#REF!</v>
      </c>
      <c r="BC181" s="22">
        <v>0</v>
      </c>
      <c r="BD181" s="22" t="e">
        <f t="shared" si="18"/>
        <v>#REF!</v>
      </c>
      <c r="BE181" s="23" t="e">
        <f>IF(SUMPRODUCT($J$85:BD$85,$J181:BD181)&lt;0.5, "Pending", IF(BD181&lt;0.5, "Complete", "In Progress"))</f>
        <v>#REF!</v>
      </c>
      <c r="BF181" s="22">
        <v>0</v>
      </c>
      <c r="BG181" s="22" t="e">
        <f t="shared" si="19"/>
        <v>#REF!</v>
      </c>
      <c r="BH181" s="23" t="e">
        <f>IF(SUMPRODUCT($J$85:BG$85,$J181:BG181)&lt;0.5, "Pending", IF(BG181&lt;0.5, "Complete", "In Progress"))</f>
        <v>#REF!</v>
      </c>
      <c r="BI181" s="22">
        <v>0</v>
      </c>
      <c r="BJ181" s="22" t="e">
        <f t="shared" si="20"/>
        <v>#REF!</v>
      </c>
      <c r="BK181" s="23" t="e">
        <f>IF(SUMPRODUCT($J$85:BJ$85,$J181:BJ181)&lt;0.5, "Pending", IF(BJ181&lt;0.5, "Complete", "In Progress"))</f>
        <v>#REF!</v>
      </c>
      <c r="BL181" s="22">
        <v>0</v>
      </c>
      <c r="BM181" s="22" t="e">
        <f t="shared" si="21"/>
        <v>#REF!</v>
      </c>
      <c r="BN181" s="23" t="e">
        <f>IF(SUMPRODUCT($J$85:BM$85,$J181:BM181)&lt;0.5, "Pending", IF(BM181&lt;0.5, "Complete", "In Progress"))</f>
        <v>#REF!</v>
      </c>
      <c r="BO181" s="22">
        <v>0</v>
      </c>
      <c r="BP181" s="22" t="e">
        <f t="shared" si="22"/>
        <v>#REF!</v>
      </c>
      <c r="BQ181" s="23" t="e">
        <f>IF(SUMPRODUCT($J$85:BP$85,$J181:BP181)&lt;0.5, "Pending", IF(BP181&lt;0.5, "Complete", "In Progress"))</f>
        <v>#REF!</v>
      </c>
      <c r="BR181" s="22">
        <v>0</v>
      </c>
      <c r="BS181" s="22" t="e">
        <f t="shared" si="23"/>
        <v>#REF!</v>
      </c>
      <c r="BT181" s="23" t="e">
        <f>IF(SUMPRODUCT($J$85:BS$85,$J181:BS181)&lt;0.5, "Pending", IF(BS181&lt;0.5, "Complete", "In Progress"))</f>
        <v>#REF!</v>
      </c>
      <c r="BU181" s="22">
        <v>0</v>
      </c>
      <c r="BV181" s="22" t="e">
        <f t="shared" si="24"/>
        <v>#REF!</v>
      </c>
      <c r="BW181" s="23" t="e">
        <f>IF(SUMPRODUCT($J$85:BV$85,$J181:BV181)&lt;0.5, "Pending", IF(BV181&lt;0.5, "Complete", "In Progress"))</f>
        <v>#REF!</v>
      </c>
      <c r="BX181" s="22">
        <v>0</v>
      </c>
      <c r="BY181" s="22" t="e">
        <f t="shared" si="25"/>
        <v>#REF!</v>
      </c>
      <c r="BZ181" s="23" t="e">
        <f>IF(SUMPRODUCT($J$85:BY$85,$J181:BY181)&lt;0.5, "Pending", IF(BY181&lt;0.5, "Complete", "In Progress"))</f>
        <v>#REF!</v>
      </c>
      <c r="CA181" s="22">
        <v>0</v>
      </c>
      <c r="CB181" s="22" t="e">
        <f t="shared" si="26"/>
        <v>#REF!</v>
      </c>
      <c r="CC181" s="23" t="e">
        <f>IF(SUMPRODUCT($J$85:CB$85,$J181:CB181)&lt;0.5, "Pending", IF(CB181&lt;0.5, "Complete", "In Progress"))</f>
        <v>#REF!</v>
      </c>
      <c r="CD181" s="24"/>
      <c r="CE181" s="25">
        <f>SUMPRODUCT($H$85:AY$85,$H181:AY181)</f>
        <v>43</v>
      </c>
    </row>
    <row r="182" spans="1:83" ht="13.8" customHeight="1" x14ac:dyDescent="0.25">
      <c r="A182" s="16" t="s">
        <v>103</v>
      </c>
      <c r="B182" s="16" t="s">
        <v>110</v>
      </c>
      <c r="C182" s="16" t="s">
        <v>522</v>
      </c>
      <c r="D182" s="17" t="s">
        <v>286</v>
      </c>
      <c r="E182" s="158" t="s">
        <v>476</v>
      </c>
      <c r="F182" s="158" t="s">
        <v>498</v>
      </c>
      <c r="G182" s="19"/>
      <c r="H182" s="20">
        <v>1</v>
      </c>
      <c r="I182" s="21">
        <v>6</v>
      </c>
      <c r="J182" s="21">
        <v>0</v>
      </c>
      <c r="K182" s="21">
        <v>0</v>
      </c>
      <c r="L182" s="21">
        <v>0</v>
      </c>
      <c r="M182" s="21">
        <v>0</v>
      </c>
      <c r="N182" s="21">
        <v>0</v>
      </c>
      <c r="O182" s="21">
        <v>0</v>
      </c>
      <c r="P182" s="21">
        <v>0</v>
      </c>
      <c r="Q182" s="21">
        <v>0</v>
      </c>
      <c r="R182" s="21">
        <v>0</v>
      </c>
      <c r="S182" s="21">
        <v>0</v>
      </c>
      <c r="T182" s="21">
        <v>0</v>
      </c>
      <c r="U182" s="21">
        <v>0</v>
      </c>
      <c r="V182" s="21">
        <v>0</v>
      </c>
      <c r="W182" s="21">
        <v>0</v>
      </c>
      <c r="X182" s="21">
        <v>0</v>
      </c>
      <c r="Y182" s="21">
        <v>0</v>
      </c>
      <c r="Z182" s="21">
        <v>0</v>
      </c>
      <c r="AA182" s="21">
        <v>0</v>
      </c>
      <c r="AB182" s="21">
        <v>0</v>
      </c>
      <c r="AC182" s="21">
        <v>0</v>
      </c>
      <c r="AD182" s="21">
        <v>0</v>
      </c>
      <c r="AE182" s="21">
        <v>0</v>
      </c>
      <c r="AF182" s="21">
        <v>0</v>
      </c>
      <c r="AG182" s="21">
        <v>0</v>
      </c>
      <c r="AH182" s="21">
        <v>0</v>
      </c>
      <c r="AI182" s="21">
        <v>0</v>
      </c>
      <c r="AJ182" s="21">
        <v>0</v>
      </c>
      <c r="AK182" s="21">
        <v>0</v>
      </c>
      <c r="AL182" s="21">
        <v>0</v>
      </c>
      <c r="AM182" s="21">
        <v>0</v>
      </c>
      <c r="AN182" s="21">
        <v>0</v>
      </c>
      <c r="AO182" s="21">
        <v>0</v>
      </c>
      <c r="AP182" s="21">
        <v>0</v>
      </c>
      <c r="AQ182" s="21">
        <v>0</v>
      </c>
      <c r="AR182" s="21">
        <v>0</v>
      </c>
      <c r="AS182" s="21">
        <v>0</v>
      </c>
      <c r="AT182" s="21">
        <v>0</v>
      </c>
      <c r="AU182" s="21">
        <v>0</v>
      </c>
      <c r="AV182" s="21">
        <v>0</v>
      </c>
      <c r="AW182" s="21">
        <v>0</v>
      </c>
      <c r="AX182" s="21">
        <v>0</v>
      </c>
      <c r="AY182" s="21">
        <v>0</v>
      </c>
      <c r="AZ182" s="22">
        <v>0</v>
      </c>
      <c r="BA182" s="22" t="e">
        <f>MAX(#REF!-AZ182,0)</f>
        <v>#REF!</v>
      </c>
      <c r="BB182" s="23" t="e">
        <f>IF(SUMPRODUCT($J$85:BA$85,$J182:BA182)&lt;0.5, "Pending", IF(BA182&lt;0.5, "Complete", "In Progress"))</f>
        <v>#REF!</v>
      </c>
      <c r="BC182" s="22">
        <v>0</v>
      </c>
      <c r="BD182" s="22" t="e">
        <f t="shared" si="18"/>
        <v>#REF!</v>
      </c>
      <c r="BE182" s="23" t="e">
        <f>IF(SUMPRODUCT($J$85:BD$85,$J182:BD182)&lt;0.5, "Pending", IF(BD182&lt;0.5, "Complete", "In Progress"))</f>
        <v>#REF!</v>
      </c>
      <c r="BF182" s="22">
        <v>0</v>
      </c>
      <c r="BG182" s="22" t="e">
        <f t="shared" si="19"/>
        <v>#REF!</v>
      </c>
      <c r="BH182" s="23" t="e">
        <f>IF(SUMPRODUCT($J$85:BG$85,$J182:BG182)&lt;0.5, "Pending", IF(BG182&lt;0.5, "Complete", "In Progress"))</f>
        <v>#REF!</v>
      </c>
      <c r="BI182" s="22">
        <v>0</v>
      </c>
      <c r="BJ182" s="22" t="e">
        <f t="shared" si="20"/>
        <v>#REF!</v>
      </c>
      <c r="BK182" s="23" t="e">
        <f>IF(SUMPRODUCT($J$85:BJ$85,$J182:BJ182)&lt;0.5, "Pending", IF(BJ182&lt;0.5, "Complete", "In Progress"))</f>
        <v>#REF!</v>
      </c>
      <c r="BL182" s="22">
        <v>0</v>
      </c>
      <c r="BM182" s="22" t="e">
        <f t="shared" si="21"/>
        <v>#REF!</v>
      </c>
      <c r="BN182" s="23" t="e">
        <f>IF(SUMPRODUCT($J$85:BM$85,$J182:BM182)&lt;0.5, "Pending", IF(BM182&lt;0.5, "Complete", "In Progress"))</f>
        <v>#REF!</v>
      </c>
      <c r="BO182" s="22">
        <v>0</v>
      </c>
      <c r="BP182" s="22" t="e">
        <f t="shared" si="22"/>
        <v>#REF!</v>
      </c>
      <c r="BQ182" s="23" t="e">
        <f>IF(SUMPRODUCT($J$85:BP$85,$J182:BP182)&lt;0.5, "Pending", IF(BP182&lt;0.5, "Complete", "In Progress"))</f>
        <v>#REF!</v>
      </c>
      <c r="BR182" s="22">
        <v>0</v>
      </c>
      <c r="BS182" s="22" t="e">
        <f t="shared" si="23"/>
        <v>#REF!</v>
      </c>
      <c r="BT182" s="23" t="e">
        <f>IF(SUMPRODUCT($J$85:BS$85,$J182:BS182)&lt;0.5, "Pending", IF(BS182&lt;0.5, "Complete", "In Progress"))</f>
        <v>#REF!</v>
      </c>
      <c r="BU182" s="22">
        <v>0</v>
      </c>
      <c r="BV182" s="22" t="e">
        <f t="shared" si="24"/>
        <v>#REF!</v>
      </c>
      <c r="BW182" s="23" t="e">
        <f>IF(SUMPRODUCT($J$85:BV$85,$J182:BV182)&lt;0.5, "Pending", IF(BV182&lt;0.5, "Complete", "In Progress"))</f>
        <v>#REF!</v>
      </c>
      <c r="BX182" s="22">
        <v>0</v>
      </c>
      <c r="BY182" s="22" t="e">
        <f t="shared" si="25"/>
        <v>#REF!</v>
      </c>
      <c r="BZ182" s="23" t="e">
        <f>IF(SUMPRODUCT($J$85:BY$85,$J182:BY182)&lt;0.5, "Pending", IF(BY182&lt;0.5, "Complete", "In Progress"))</f>
        <v>#REF!</v>
      </c>
      <c r="CA182" s="22">
        <v>0</v>
      </c>
      <c r="CB182" s="22" t="e">
        <f t="shared" si="26"/>
        <v>#REF!</v>
      </c>
      <c r="CC182" s="23" t="e">
        <f>IF(SUMPRODUCT($J$85:CB$85,$J182:CB182)&lt;0.5, "Pending", IF(CB182&lt;0.5, "Complete", "In Progress"))</f>
        <v>#REF!</v>
      </c>
      <c r="CD182" s="24"/>
      <c r="CE182" s="25">
        <f>SUMPRODUCT($H$85:AY$85,$H182:AY182)</f>
        <v>43</v>
      </c>
    </row>
    <row r="183" spans="1:83" ht="13.8" customHeight="1" x14ac:dyDescent="0.25">
      <c r="A183" s="16" t="s">
        <v>104</v>
      </c>
      <c r="B183" s="16" t="s">
        <v>118</v>
      </c>
      <c r="C183" s="16" t="s">
        <v>522</v>
      </c>
      <c r="D183" s="17" t="s">
        <v>287</v>
      </c>
      <c r="E183" s="158" t="s">
        <v>477</v>
      </c>
      <c r="F183" s="158" t="s">
        <v>496</v>
      </c>
      <c r="G183" s="19"/>
      <c r="H183" s="20">
        <v>1</v>
      </c>
      <c r="I183" s="21">
        <v>6</v>
      </c>
      <c r="J183" s="21">
        <v>0</v>
      </c>
      <c r="K183" s="21">
        <v>0</v>
      </c>
      <c r="L183" s="21">
        <v>0</v>
      </c>
      <c r="M183" s="21">
        <v>0</v>
      </c>
      <c r="N183" s="21">
        <v>0</v>
      </c>
      <c r="O183" s="21">
        <v>0</v>
      </c>
      <c r="P183" s="21">
        <v>0</v>
      </c>
      <c r="Q183" s="21">
        <v>0</v>
      </c>
      <c r="R183" s="21">
        <v>0</v>
      </c>
      <c r="S183" s="21">
        <v>0</v>
      </c>
      <c r="T183" s="21">
        <v>0</v>
      </c>
      <c r="U183" s="21">
        <v>0</v>
      </c>
      <c r="V183" s="21">
        <v>0</v>
      </c>
      <c r="W183" s="21">
        <v>0</v>
      </c>
      <c r="X183" s="21">
        <v>0</v>
      </c>
      <c r="Y183" s="21">
        <v>0</v>
      </c>
      <c r="Z183" s="21">
        <v>0</v>
      </c>
      <c r="AA183" s="21">
        <v>0</v>
      </c>
      <c r="AB183" s="21">
        <v>0</v>
      </c>
      <c r="AC183" s="21">
        <v>0</v>
      </c>
      <c r="AD183" s="21">
        <v>0</v>
      </c>
      <c r="AE183" s="21">
        <v>0</v>
      </c>
      <c r="AF183" s="21">
        <v>0</v>
      </c>
      <c r="AG183" s="21">
        <v>0</v>
      </c>
      <c r="AH183" s="21">
        <v>0</v>
      </c>
      <c r="AI183" s="21">
        <v>0</v>
      </c>
      <c r="AJ183" s="21">
        <v>0</v>
      </c>
      <c r="AK183" s="21">
        <v>0</v>
      </c>
      <c r="AL183" s="21">
        <v>0</v>
      </c>
      <c r="AM183" s="21">
        <v>0</v>
      </c>
      <c r="AN183" s="21">
        <v>0</v>
      </c>
      <c r="AO183" s="21">
        <v>0</v>
      </c>
      <c r="AP183" s="21">
        <v>0</v>
      </c>
      <c r="AQ183" s="21">
        <v>0</v>
      </c>
      <c r="AR183" s="21">
        <v>0</v>
      </c>
      <c r="AS183" s="21">
        <v>0</v>
      </c>
      <c r="AT183" s="21">
        <v>0</v>
      </c>
      <c r="AU183" s="21">
        <v>0</v>
      </c>
      <c r="AV183" s="21">
        <v>0</v>
      </c>
      <c r="AW183" s="21">
        <v>0</v>
      </c>
      <c r="AX183" s="21">
        <v>0</v>
      </c>
      <c r="AY183" s="21">
        <v>0</v>
      </c>
      <c r="AZ183" s="22">
        <v>0</v>
      </c>
      <c r="BA183" s="22" t="e">
        <f>MAX(#REF!-AZ183,0)</f>
        <v>#REF!</v>
      </c>
      <c r="BB183" s="23" t="e">
        <f>IF(SUMPRODUCT($J$85:BA$85,$J183:BA183)&lt;0.5, "Pending", IF(BA183&lt;0.5, "Complete", "In Progress"))</f>
        <v>#REF!</v>
      </c>
      <c r="BC183" s="22">
        <v>0</v>
      </c>
      <c r="BD183" s="22" t="e">
        <f t="shared" si="18"/>
        <v>#REF!</v>
      </c>
      <c r="BE183" s="23" t="e">
        <f>IF(SUMPRODUCT($J$85:BD$85,$J183:BD183)&lt;0.5, "Pending", IF(BD183&lt;0.5, "Complete", "In Progress"))</f>
        <v>#REF!</v>
      </c>
      <c r="BF183" s="22">
        <v>0</v>
      </c>
      <c r="BG183" s="22" t="e">
        <f t="shared" si="19"/>
        <v>#REF!</v>
      </c>
      <c r="BH183" s="23" t="e">
        <f>IF(SUMPRODUCT($J$85:BG$85,$J183:BG183)&lt;0.5, "Pending", IF(BG183&lt;0.5, "Complete", "In Progress"))</f>
        <v>#REF!</v>
      </c>
      <c r="BI183" s="22">
        <v>0</v>
      </c>
      <c r="BJ183" s="22" t="e">
        <f t="shared" si="20"/>
        <v>#REF!</v>
      </c>
      <c r="BK183" s="23" t="e">
        <f>IF(SUMPRODUCT($J$85:BJ$85,$J183:BJ183)&lt;0.5, "Pending", IF(BJ183&lt;0.5, "Complete", "In Progress"))</f>
        <v>#REF!</v>
      </c>
      <c r="BL183" s="22">
        <v>0</v>
      </c>
      <c r="BM183" s="22" t="e">
        <f t="shared" si="21"/>
        <v>#REF!</v>
      </c>
      <c r="BN183" s="23" t="e">
        <f>IF(SUMPRODUCT($J$85:BM$85,$J183:BM183)&lt;0.5, "Pending", IF(BM183&lt;0.5, "Complete", "In Progress"))</f>
        <v>#REF!</v>
      </c>
      <c r="BO183" s="22">
        <v>0</v>
      </c>
      <c r="BP183" s="22" t="e">
        <f t="shared" si="22"/>
        <v>#REF!</v>
      </c>
      <c r="BQ183" s="23" t="e">
        <f>IF(SUMPRODUCT($J$85:BP$85,$J183:BP183)&lt;0.5, "Pending", IF(BP183&lt;0.5, "Complete", "In Progress"))</f>
        <v>#REF!</v>
      </c>
      <c r="BR183" s="22">
        <v>0</v>
      </c>
      <c r="BS183" s="22" t="e">
        <f t="shared" si="23"/>
        <v>#REF!</v>
      </c>
      <c r="BT183" s="23" t="e">
        <f>IF(SUMPRODUCT($J$85:BS$85,$J183:BS183)&lt;0.5, "Pending", IF(BS183&lt;0.5, "Complete", "In Progress"))</f>
        <v>#REF!</v>
      </c>
      <c r="BU183" s="22">
        <v>0</v>
      </c>
      <c r="BV183" s="22" t="e">
        <f t="shared" si="24"/>
        <v>#REF!</v>
      </c>
      <c r="BW183" s="23" t="e">
        <f>IF(SUMPRODUCT($J$85:BV$85,$J183:BV183)&lt;0.5, "Pending", IF(BV183&lt;0.5, "Complete", "In Progress"))</f>
        <v>#REF!</v>
      </c>
      <c r="BX183" s="22">
        <v>0</v>
      </c>
      <c r="BY183" s="22" t="e">
        <f t="shared" si="25"/>
        <v>#REF!</v>
      </c>
      <c r="BZ183" s="23" t="e">
        <f>IF(SUMPRODUCT($J$85:BY$85,$J183:BY183)&lt;0.5, "Pending", IF(BY183&lt;0.5, "Complete", "In Progress"))</f>
        <v>#REF!</v>
      </c>
      <c r="CA183" s="22">
        <v>0</v>
      </c>
      <c r="CB183" s="22" t="e">
        <f t="shared" si="26"/>
        <v>#REF!</v>
      </c>
      <c r="CC183" s="23" t="e">
        <f>IF(SUMPRODUCT($J$85:CB$85,$J183:CB183)&lt;0.5, "Pending", IF(CB183&lt;0.5, "Complete", "In Progress"))</f>
        <v>#REF!</v>
      </c>
      <c r="CD183" s="24"/>
      <c r="CE183" s="25">
        <f>SUMPRODUCT($H$85:AY$85,$H183:AY183)</f>
        <v>43</v>
      </c>
    </row>
    <row r="184" spans="1:83" ht="13.8" customHeight="1" x14ac:dyDescent="0.25">
      <c r="A184" s="16" t="s">
        <v>103</v>
      </c>
      <c r="B184" s="16" t="s">
        <v>123</v>
      </c>
      <c r="C184" s="16" t="s">
        <v>523</v>
      </c>
      <c r="D184" s="17">
        <v>12</v>
      </c>
      <c r="E184" s="158" t="s">
        <v>478</v>
      </c>
      <c r="F184" s="158" t="s">
        <v>495</v>
      </c>
      <c r="G184" s="169"/>
      <c r="H184" s="20">
        <v>1</v>
      </c>
      <c r="I184" s="21">
        <v>6</v>
      </c>
      <c r="J184" s="21">
        <v>0</v>
      </c>
      <c r="K184" s="21">
        <v>0</v>
      </c>
      <c r="L184" s="21">
        <v>0</v>
      </c>
      <c r="M184" s="21">
        <v>0</v>
      </c>
      <c r="N184" s="21">
        <v>0</v>
      </c>
      <c r="O184" s="21">
        <v>0</v>
      </c>
      <c r="P184" s="21">
        <v>0</v>
      </c>
      <c r="Q184" s="21">
        <v>0</v>
      </c>
      <c r="R184" s="21">
        <v>0</v>
      </c>
      <c r="S184" s="21">
        <v>0</v>
      </c>
      <c r="T184" s="21">
        <v>0</v>
      </c>
      <c r="U184" s="21">
        <v>0</v>
      </c>
      <c r="V184" s="21">
        <v>0</v>
      </c>
      <c r="W184" s="21">
        <v>0</v>
      </c>
      <c r="X184" s="21">
        <v>0</v>
      </c>
      <c r="Y184" s="21">
        <v>0</v>
      </c>
      <c r="Z184" s="21">
        <v>0</v>
      </c>
      <c r="AA184" s="21">
        <v>0</v>
      </c>
      <c r="AB184" s="21">
        <v>0</v>
      </c>
      <c r="AC184" s="21">
        <v>0</v>
      </c>
      <c r="AD184" s="21">
        <v>0</v>
      </c>
      <c r="AE184" s="21">
        <v>0</v>
      </c>
      <c r="AF184" s="21">
        <v>0</v>
      </c>
      <c r="AG184" s="21">
        <v>0</v>
      </c>
      <c r="AH184" s="21">
        <v>0</v>
      </c>
      <c r="AI184" s="21">
        <v>0</v>
      </c>
      <c r="AJ184" s="21">
        <v>0</v>
      </c>
      <c r="AK184" s="21">
        <v>0</v>
      </c>
      <c r="AL184" s="21">
        <v>0</v>
      </c>
      <c r="AM184" s="21">
        <v>0</v>
      </c>
      <c r="AN184" s="21">
        <v>0</v>
      </c>
      <c r="AO184" s="21">
        <v>0</v>
      </c>
      <c r="AP184" s="21">
        <v>0</v>
      </c>
      <c r="AQ184" s="21">
        <v>0</v>
      </c>
      <c r="AR184" s="21">
        <v>0</v>
      </c>
      <c r="AS184" s="21">
        <v>0</v>
      </c>
      <c r="AT184" s="21">
        <v>0</v>
      </c>
      <c r="AU184" s="21">
        <v>0</v>
      </c>
      <c r="AV184" s="21">
        <v>0</v>
      </c>
      <c r="AW184" s="21">
        <v>0</v>
      </c>
      <c r="AX184" s="21">
        <v>0</v>
      </c>
      <c r="AY184" s="21">
        <v>0</v>
      </c>
      <c r="AZ184" s="22">
        <v>0</v>
      </c>
      <c r="BA184" s="22" t="e">
        <f>MAX(#REF!-AZ184,0)</f>
        <v>#REF!</v>
      </c>
      <c r="BB184" s="23" t="e">
        <f>IF(SUMPRODUCT($J$85:BA$85,$J184:BA184)&lt;0.5, "Pending", IF(BA184&lt;0.5, "Complete", "In Progress"))</f>
        <v>#REF!</v>
      </c>
      <c r="BC184" s="22">
        <v>0</v>
      </c>
      <c r="BD184" s="22" t="e">
        <f t="shared" si="18"/>
        <v>#REF!</v>
      </c>
      <c r="BE184" s="23" t="e">
        <f>IF(SUMPRODUCT($J$85:BD$85,$J184:BD184)&lt;0.5, "Pending", IF(BD184&lt;0.5, "Complete", "In Progress"))</f>
        <v>#REF!</v>
      </c>
      <c r="BF184" s="22">
        <v>0</v>
      </c>
      <c r="BG184" s="22" t="e">
        <f t="shared" si="19"/>
        <v>#REF!</v>
      </c>
      <c r="BH184" s="23" t="e">
        <f>IF(SUMPRODUCT($J$85:BG$85,$J184:BG184)&lt;0.5, "Pending", IF(BG184&lt;0.5, "Complete", "In Progress"))</f>
        <v>#REF!</v>
      </c>
      <c r="BI184" s="22">
        <v>0</v>
      </c>
      <c r="BJ184" s="22" t="e">
        <f t="shared" si="20"/>
        <v>#REF!</v>
      </c>
      <c r="BK184" s="23" t="e">
        <f>IF(SUMPRODUCT($J$85:BJ$85,$J184:BJ184)&lt;0.5, "Pending", IF(BJ184&lt;0.5, "Complete", "In Progress"))</f>
        <v>#REF!</v>
      </c>
      <c r="BL184" s="22">
        <v>0</v>
      </c>
      <c r="BM184" s="22" t="e">
        <f t="shared" si="21"/>
        <v>#REF!</v>
      </c>
      <c r="BN184" s="23" t="e">
        <f>IF(SUMPRODUCT($J$85:BM$85,$J184:BM184)&lt;0.5, "Pending", IF(BM184&lt;0.5, "Complete", "In Progress"))</f>
        <v>#REF!</v>
      </c>
      <c r="BO184" s="22">
        <v>0</v>
      </c>
      <c r="BP184" s="22" t="e">
        <f t="shared" si="22"/>
        <v>#REF!</v>
      </c>
      <c r="BQ184" s="23" t="e">
        <f>IF(SUMPRODUCT($J$85:BP$85,$J184:BP184)&lt;0.5, "Pending", IF(BP184&lt;0.5, "Complete", "In Progress"))</f>
        <v>#REF!</v>
      </c>
      <c r="BR184" s="22">
        <v>0</v>
      </c>
      <c r="BS184" s="22" t="e">
        <f t="shared" si="23"/>
        <v>#REF!</v>
      </c>
      <c r="BT184" s="23" t="e">
        <f>IF(SUMPRODUCT($J$85:BS$85,$J184:BS184)&lt;0.5, "Pending", IF(BS184&lt;0.5, "Complete", "In Progress"))</f>
        <v>#REF!</v>
      </c>
      <c r="BU184" s="22">
        <v>0</v>
      </c>
      <c r="BV184" s="22" t="e">
        <f t="shared" si="24"/>
        <v>#REF!</v>
      </c>
      <c r="BW184" s="23" t="e">
        <f>IF(SUMPRODUCT($J$85:BV$85,$J184:BV184)&lt;0.5, "Pending", IF(BV184&lt;0.5, "Complete", "In Progress"))</f>
        <v>#REF!</v>
      </c>
      <c r="BX184" s="22">
        <v>0</v>
      </c>
      <c r="BY184" s="22" t="e">
        <f t="shared" si="25"/>
        <v>#REF!</v>
      </c>
      <c r="BZ184" s="23" t="e">
        <f>IF(SUMPRODUCT($J$85:BY$85,$J184:BY184)&lt;0.5, "Pending", IF(BY184&lt;0.5, "Complete", "In Progress"))</f>
        <v>#REF!</v>
      </c>
      <c r="CA184" s="22">
        <v>0</v>
      </c>
      <c r="CB184" s="22" t="e">
        <f t="shared" si="26"/>
        <v>#REF!</v>
      </c>
      <c r="CC184" s="23" t="e">
        <f>IF(SUMPRODUCT($J$85:CB$85,$J184:CB184)&lt;0.5, "Pending", IF(CB184&lt;0.5, "Complete", "In Progress"))</f>
        <v>#REF!</v>
      </c>
      <c r="CD184" s="24"/>
      <c r="CE184" s="25">
        <f>SUMPRODUCT($H$85:AY$85,$H184:AY184)</f>
        <v>43</v>
      </c>
    </row>
    <row r="185" spans="1:83" ht="13.8" customHeight="1" x14ac:dyDescent="0.25">
      <c r="A185" s="16" t="s">
        <v>103</v>
      </c>
      <c r="B185" s="16" t="s">
        <v>123</v>
      </c>
      <c r="C185" s="16" t="s">
        <v>523</v>
      </c>
      <c r="D185" s="17">
        <v>12.1</v>
      </c>
      <c r="E185" s="158" t="s">
        <v>479</v>
      </c>
      <c r="F185" s="158" t="s">
        <v>493</v>
      </c>
      <c r="G185" s="168"/>
      <c r="H185" s="20">
        <v>1</v>
      </c>
      <c r="I185" s="21">
        <v>56</v>
      </c>
      <c r="J185" s="21">
        <v>0</v>
      </c>
      <c r="K185" s="21">
        <v>0</v>
      </c>
      <c r="L185" s="21">
        <v>0</v>
      </c>
      <c r="M185" s="21">
        <v>0</v>
      </c>
      <c r="N185" s="21">
        <v>0</v>
      </c>
      <c r="O185" s="21">
        <v>0</v>
      </c>
      <c r="P185" s="21">
        <v>0</v>
      </c>
      <c r="Q185" s="21">
        <v>0</v>
      </c>
      <c r="R185" s="21">
        <v>0</v>
      </c>
      <c r="S185" s="21">
        <v>0</v>
      </c>
      <c r="T185" s="21">
        <v>0</v>
      </c>
      <c r="U185" s="21">
        <v>0</v>
      </c>
      <c r="V185" s="21">
        <v>0</v>
      </c>
      <c r="W185" s="21">
        <v>0</v>
      </c>
      <c r="X185" s="21">
        <v>0</v>
      </c>
      <c r="Y185" s="21">
        <v>0</v>
      </c>
      <c r="Z185" s="21">
        <v>0</v>
      </c>
      <c r="AA185" s="21">
        <v>0</v>
      </c>
      <c r="AB185" s="21">
        <v>0</v>
      </c>
      <c r="AC185" s="21">
        <v>0</v>
      </c>
      <c r="AD185" s="21">
        <v>0</v>
      </c>
      <c r="AE185" s="21">
        <v>0</v>
      </c>
      <c r="AF185" s="21">
        <v>0</v>
      </c>
      <c r="AG185" s="21">
        <v>0</v>
      </c>
      <c r="AH185" s="21">
        <v>0</v>
      </c>
      <c r="AI185" s="21">
        <v>0</v>
      </c>
      <c r="AJ185" s="21">
        <v>0</v>
      </c>
      <c r="AK185" s="21">
        <v>0</v>
      </c>
      <c r="AL185" s="21">
        <v>0</v>
      </c>
      <c r="AM185" s="21">
        <v>0</v>
      </c>
      <c r="AN185" s="21">
        <v>0</v>
      </c>
      <c r="AO185" s="21">
        <v>0</v>
      </c>
      <c r="AP185" s="21">
        <v>0</v>
      </c>
      <c r="AQ185" s="21">
        <v>0</v>
      </c>
      <c r="AR185" s="21">
        <v>0</v>
      </c>
      <c r="AS185" s="21">
        <v>0</v>
      </c>
      <c r="AT185" s="21">
        <v>0</v>
      </c>
      <c r="AU185" s="21">
        <v>0</v>
      </c>
      <c r="AV185" s="21">
        <v>0</v>
      </c>
      <c r="AW185" s="21">
        <v>0</v>
      </c>
      <c r="AX185" s="21">
        <v>0</v>
      </c>
      <c r="AY185" s="21">
        <v>0</v>
      </c>
      <c r="AZ185" s="22">
        <v>0</v>
      </c>
      <c r="BA185" s="22" t="e">
        <f>MAX(#REF!-AZ185,0)</f>
        <v>#REF!</v>
      </c>
      <c r="BB185" s="23" t="e">
        <f>IF(SUMPRODUCT($J$85:BA$85,$J185:BA185)&lt;0.5, "Pending", IF(BA185&lt;0.5, "Complete", "In Progress"))</f>
        <v>#REF!</v>
      </c>
      <c r="BC185" s="22">
        <v>0</v>
      </c>
      <c r="BD185" s="22" t="e">
        <f t="shared" ref="BD185:BD198" si="27">MAX(BA185-BC185,0)</f>
        <v>#REF!</v>
      </c>
      <c r="BE185" s="23" t="e">
        <f>IF(SUMPRODUCT($J$85:BD$85,$J185:BD185)&lt;0.5, "Pending", IF(BD185&lt;0.5, "Complete", "In Progress"))</f>
        <v>#REF!</v>
      </c>
      <c r="BF185" s="22">
        <v>0</v>
      </c>
      <c r="BG185" s="22" t="e">
        <f t="shared" ref="BG185:BG198" si="28">MAX(BD185-BF185,0)</f>
        <v>#REF!</v>
      </c>
      <c r="BH185" s="23" t="e">
        <f>IF(SUMPRODUCT($J$85:BG$85,$J185:BG185)&lt;0.5, "Pending", IF(BG185&lt;0.5, "Complete", "In Progress"))</f>
        <v>#REF!</v>
      </c>
      <c r="BI185" s="22">
        <v>0</v>
      </c>
      <c r="BJ185" s="22" t="e">
        <f t="shared" ref="BJ185:BJ198" si="29">MAX(BG185-BI185,0)</f>
        <v>#REF!</v>
      </c>
      <c r="BK185" s="23" t="e">
        <f>IF(SUMPRODUCT($J$85:BJ$85,$J185:BJ185)&lt;0.5, "Pending", IF(BJ185&lt;0.5, "Complete", "In Progress"))</f>
        <v>#REF!</v>
      </c>
      <c r="BL185" s="22">
        <v>0</v>
      </c>
      <c r="BM185" s="22" t="e">
        <f t="shared" ref="BM185:BM198" si="30">MAX(BJ185-BL185,0)</f>
        <v>#REF!</v>
      </c>
      <c r="BN185" s="23" t="e">
        <f>IF(SUMPRODUCT($J$85:BM$85,$J185:BM185)&lt;0.5, "Pending", IF(BM185&lt;0.5, "Complete", "In Progress"))</f>
        <v>#REF!</v>
      </c>
      <c r="BO185" s="22">
        <v>0</v>
      </c>
      <c r="BP185" s="22" t="e">
        <f t="shared" ref="BP185:BP198" si="31">MAX(BM185-BO185,0)</f>
        <v>#REF!</v>
      </c>
      <c r="BQ185" s="23" t="e">
        <f>IF(SUMPRODUCT($J$85:BP$85,$J185:BP185)&lt;0.5, "Pending", IF(BP185&lt;0.5, "Complete", "In Progress"))</f>
        <v>#REF!</v>
      </c>
      <c r="BR185" s="22">
        <v>0</v>
      </c>
      <c r="BS185" s="22" t="e">
        <f t="shared" ref="BS185:BS198" si="32">MAX(BP185-BR185,0)</f>
        <v>#REF!</v>
      </c>
      <c r="BT185" s="23" t="e">
        <f>IF(SUMPRODUCT($J$85:BS$85,$J185:BS185)&lt;0.5, "Pending", IF(BS185&lt;0.5, "Complete", "In Progress"))</f>
        <v>#REF!</v>
      </c>
      <c r="BU185" s="22">
        <v>0</v>
      </c>
      <c r="BV185" s="22" t="e">
        <f t="shared" ref="BV185:BV198" si="33">MAX(BS185-BU185,0)</f>
        <v>#REF!</v>
      </c>
      <c r="BW185" s="23" t="e">
        <f>IF(SUMPRODUCT($J$85:BV$85,$J185:BV185)&lt;0.5, "Pending", IF(BV185&lt;0.5, "Complete", "In Progress"))</f>
        <v>#REF!</v>
      </c>
      <c r="BX185" s="22">
        <v>0</v>
      </c>
      <c r="BY185" s="22" t="e">
        <f t="shared" ref="BY185:BY198" si="34">MAX(BV185-BX185,0)</f>
        <v>#REF!</v>
      </c>
      <c r="BZ185" s="23" t="e">
        <f>IF(SUMPRODUCT($J$85:BY$85,$J185:BY185)&lt;0.5, "Pending", IF(BY185&lt;0.5, "Complete", "In Progress"))</f>
        <v>#REF!</v>
      </c>
      <c r="CA185" s="22">
        <v>0</v>
      </c>
      <c r="CB185" s="22" t="e">
        <f t="shared" ref="CB185:CB198" si="35">MAX(BY185-CA185,0)</f>
        <v>#REF!</v>
      </c>
      <c r="CC185" s="23" t="e">
        <f>IF(SUMPRODUCT($J$85:CB$85,$J185:CB185)&lt;0.5, "Pending", IF(CB185&lt;0.5, "Complete", "In Progress"))</f>
        <v>#REF!</v>
      </c>
      <c r="CD185" s="24"/>
      <c r="CE185" s="25">
        <f>SUMPRODUCT($H$85:AY$85,$H185:AY185)</f>
        <v>393</v>
      </c>
    </row>
    <row r="186" spans="1:83" ht="13.8" customHeight="1" x14ac:dyDescent="0.25">
      <c r="A186" s="16" t="s">
        <v>104</v>
      </c>
      <c r="B186" s="16" t="s">
        <v>110</v>
      </c>
      <c r="C186" s="16" t="s">
        <v>524</v>
      </c>
      <c r="D186" s="17" t="s">
        <v>288</v>
      </c>
      <c r="E186" s="158" t="s">
        <v>480</v>
      </c>
      <c r="F186" s="158" t="s">
        <v>494</v>
      </c>
      <c r="G186" s="19"/>
      <c r="H186" s="20">
        <v>1</v>
      </c>
      <c r="I186" s="21">
        <v>6</v>
      </c>
      <c r="J186" s="21">
        <v>0</v>
      </c>
      <c r="K186" s="21">
        <v>0</v>
      </c>
      <c r="L186" s="21">
        <v>0</v>
      </c>
      <c r="M186" s="21">
        <v>0</v>
      </c>
      <c r="N186" s="21">
        <v>0</v>
      </c>
      <c r="O186" s="21">
        <v>0</v>
      </c>
      <c r="P186" s="21">
        <v>0</v>
      </c>
      <c r="Q186" s="21">
        <v>0</v>
      </c>
      <c r="R186" s="21">
        <v>0</v>
      </c>
      <c r="S186" s="21">
        <v>0</v>
      </c>
      <c r="T186" s="21">
        <v>0</v>
      </c>
      <c r="U186" s="21">
        <v>0</v>
      </c>
      <c r="V186" s="21">
        <v>0</v>
      </c>
      <c r="W186" s="21">
        <v>0</v>
      </c>
      <c r="X186" s="21">
        <v>0</v>
      </c>
      <c r="Y186" s="21">
        <v>0</v>
      </c>
      <c r="Z186" s="21">
        <v>0</v>
      </c>
      <c r="AA186" s="21">
        <v>0</v>
      </c>
      <c r="AB186" s="21">
        <v>0</v>
      </c>
      <c r="AC186" s="21">
        <v>0</v>
      </c>
      <c r="AD186" s="21">
        <v>0</v>
      </c>
      <c r="AE186" s="21">
        <v>0</v>
      </c>
      <c r="AF186" s="21">
        <v>0</v>
      </c>
      <c r="AG186" s="21">
        <v>0</v>
      </c>
      <c r="AH186" s="21">
        <v>0</v>
      </c>
      <c r="AI186" s="21">
        <v>0</v>
      </c>
      <c r="AJ186" s="21">
        <v>0</v>
      </c>
      <c r="AK186" s="21">
        <v>0</v>
      </c>
      <c r="AL186" s="21">
        <v>0</v>
      </c>
      <c r="AM186" s="21">
        <v>0</v>
      </c>
      <c r="AN186" s="21">
        <v>0</v>
      </c>
      <c r="AO186" s="21">
        <v>0</v>
      </c>
      <c r="AP186" s="21">
        <v>0</v>
      </c>
      <c r="AQ186" s="21">
        <v>0</v>
      </c>
      <c r="AR186" s="21">
        <v>0</v>
      </c>
      <c r="AS186" s="21">
        <v>0</v>
      </c>
      <c r="AT186" s="21">
        <v>0</v>
      </c>
      <c r="AU186" s="21">
        <v>0</v>
      </c>
      <c r="AV186" s="21">
        <v>0</v>
      </c>
      <c r="AW186" s="21">
        <v>0</v>
      </c>
      <c r="AX186" s="21">
        <v>0</v>
      </c>
      <c r="AY186" s="21">
        <v>0</v>
      </c>
      <c r="AZ186" s="22">
        <v>0</v>
      </c>
      <c r="BA186" s="22" t="e">
        <f>MAX(#REF!-AZ186,0)</f>
        <v>#REF!</v>
      </c>
      <c r="BB186" s="23" t="e">
        <f>IF(SUMPRODUCT($J$85:BA$85,$J186:BA186)&lt;0.5, "Pending", IF(BA186&lt;0.5, "Complete", "In Progress"))</f>
        <v>#REF!</v>
      </c>
      <c r="BC186" s="22">
        <v>0</v>
      </c>
      <c r="BD186" s="22" t="e">
        <f t="shared" si="27"/>
        <v>#REF!</v>
      </c>
      <c r="BE186" s="23" t="e">
        <f>IF(SUMPRODUCT($J$85:BD$85,$J186:BD186)&lt;0.5, "Pending", IF(BD186&lt;0.5, "Complete", "In Progress"))</f>
        <v>#REF!</v>
      </c>
      <c r="BF186" s="22">
        <v>0</v>
      </c>
      <c r="BG186" s="22" t="e">
        <f t="shared" si="28"/>
        <v>#REF!</v>
      </c>
      <c r="BH186" s="23" t="e">
        <f>IF(SUMPRODUCT($J$85:BG$85,$J186:BG186)&lt;0.5, "Pending", IF(BG186&lt;0.5, "Complete", "In Progress"))</f>
        <v>#REF!</v>
      </c>
      <c r="BI186" s="22">
        <v>0</v>
      </c>
      <c r="BJ186" s="22" t="e">
        <f t="shared" si="29"/>
        <v>#REF!</v>
      </c>
      <c r="BK186" s="23" t="e">
        <f>IF(SUMPRODUCT($J$85:BJ$85,$J186:BJ186)&lt;0.5, "Pending", IF(BJ186&lt;0.5, "Complete", "In Progress"))</f>
        <v>#REF!</v>
      </c>
      <c r="BL186" s="22">
        <v>0</v>
      </c>
      <c r="BM186" s="22" t="e">
        <f t="shared" si="30"/>
        <v>#REF!</v>
      </c>
      <c r="BN186" s="23" t="e">
        <f>IF(SUMPRODUCT($J$85:BM$85,$J186:BM186)&lt;0.5, "Pending", IF(BM186&lt;0.5, "Complete", "In Progress"))</f>
        <v>#REF!</v>
      </c>
      <c r="BO186" s="22">
        <v>0</v>
      </c>
      <c r="BP186" s="22" t="e">
        <f t="shared" si="31"/>
        <v>#REF!</v>
      </c>
      <c r="BQ186" s="23" t="e">
        <f>IF(SUMPRODUCT($J$85:BP$85,$J186:BP186)&lt;0.5, "Pending", IF(BP186&lt;0.5, "Complete", "In Progress"))</f>
        <v>#REF!</v>
      </c>
      <c r="BR186" s="22">
        <v>0</v>
      </c>
      <c r="BS186" s="22" t="e">
        <f t="shared" si="32"/>
        <v>#REF!</v>
      </c>
      <c r="BT186" s="23" t="e">
        <f>IF(SUMPRODUCT($J$85:BS$85,$J186:BS186)&lt;0.5, "Pending", IF(BS186&lt;0.5, "Complete", "In Progress"))</f>
        <v>#REF!</v>
      </c>
      <c r="BU186" s="22">
        <v>0</v>
      </c>
      <c r="BV186" s="22" t="e">
        <f t="shared" si="33"/>
        <v>#REF!</v>
      </c>
      <c r="BW186" s="23" t="e">
        <f>IF(SUMPRODUCT($J$85:BV$85,$J186:BV186)&lt;0.5, "Pending", IF(BV186&lt;0.5, "Complete", "In Progress"))</f>
        <v>#REF!</v>
      </c>
      <c r="BX186" s="22">
        <v>0</v>
      </c>
      <c r="BY186" s="22" t="e">
        <f t="shared" si="34"/>
        <v>#REF!</v>
      </c>
      <c r="BZ186" s="23" t="e">
        <f>IF(SUMPRODUCT($J$85:BY$85,$J186:BY186)&lt;0.5, "Pending", IF(BY186&lt;0.5, "Complete", "In Progress"))</f>
        <v>#REF!</v>
      </c>
      <c r="CA186" s="22">
        <v>0</v>
      </c>
      <c r="CB186" s="22" t="e">
        <f t="shared" si="35"/>
        <v>#REF!</v>
      </c>
      <c r="CC186" s="23" t="e">
        <f>IF(SUMPRODUCT($J$85:CB$85,$J186:CB186)&lt;0.5, "Pending", IF(CB186&lt;0.5, "Complete", "In Progress"))</f>
        <v>#REF!</v>
      </c>
      <c r="CD186" s="24"/>
      <c r="CE186" s="25">
        <f>SUMPRODUCT($H$85:AY$85,$H186:AY186)</f>
        <v>43</v>
      </c>
    </row>
    <row r="187" spans="1:83" ht="13.8" customHeight="1" x14ac:dyDescent="0.25">
      <c r="A187" s="16" t="s">
        <v>104</v>
      </c>
      <c r="B187" s="16" t="s">
        <v>120</v>
      </c>
      <c r="C187" s="16" t="s">
        <v>524</v>
      </c>
      <c r="D187" s="17" t="s">
        <v>289</v>
      </c>
      <c r="E187" s="158" t="s">
        <v>481</v>
      </c>
      <c r="F187" s="158" t="s">
        <v>497</v>
      </c>
      <c r="G187" s="19"/>
      <c r="H187" s="20">
        <v>1</v>
      </c>
      <c r="I187" s="21">
        <v>6</v>
      </c>
      <c r="J187" s="21">
        <v>0</v>
      </c>
      <c r="K187" s="21">
        <v>0</v>
      </c>
      <c r="L187" s="21">
        <v>0</v>
      </c>
      <c r="M187" s="21">
        <v>0</v>
      </c>
      <c r="N187" s="21">
        <v>0</v>
      </c>
      <c r="O187" s="21">
        <v>0</v>
      </c>
      <c r="P187" s="21">
        <v>0</v>
      </c>
      <c r="Q187" s="21">
        <v>0</v>
      </c>
      <c r="R187" s="21">
        <v>0</v>
      </c>
      <c r="S187" s="21">
        <v>0</v>
      </c>
      <c r="T187" s="21">
        <v>0</v>
      </c>
      <c r="U187" s="21">
        <v>0</v>
      </c>
      <c r="V187" s="21">
        <v>0</v>
      </c>
      <c r="W187" s="21">
        <v>0</v>
      </c>
      <c r="X187" s="21">
        <v>0</v>
      </c>
      <c r="Y187" s="21">
        <v>0</v>
      </c>
      <c r="Z187" s="21">
        <v>0</v>
      </c>
      <c r="AA187" s="21">
        <v>0</v>
      </c>
      <c r="AB187" s="21">
        <v>0</v>
      </c>
      <c r="AC187" s="21">
        <v>0</v>
      </c>
      <c r="AD187" s="21">
        <v>0</v>
      </c>
      <c r="AE187" s="21">
        <v>0</v>
      </c>
      <c r="AF187" s="21">
        <v>0</v>
      </c>
      <c r="AG187" s="21">
        <v>0</v>
      </c>
      <c r="AH187" s="21">
        <v>0</v>
      </c>
      <c r="AI187" s="21">
        <v>0</v>
      </c>
      <c r="AJ187" s="21">
        <v>0</v>
      </c>
      <c r="AK187" s="21">
        <v>0</v>
      </c>
      <c r="AL187" s="21">
        <v>0</v>
      </c>
      <c r="AM187" s="21">
        <v>0</v>
      </c>
      <c r="AN187" s="21">
        <v>0</v>
      </c>
      <c r="AO187" s="21">
        <v>0</v>
      </c>
      <c r="AP187" s="21">
        <v>0</v>
      </c>
      <c r="AQ187" s="21">
        <v>0</v>
      </c>
      <c r="AR187" s="21">
        <v>0</v>
      </c>
      <c r="AS187" s="21">
        <v>0</v>
      </c>
      <c r="AT187" s="21">
        <v>0</v>
      </c>
      <c r="AU187" s="21">
        <v>0</v>
      </c>
      <c r="AV187" s="21">
        <v>0</v>
      </c>
      <c r="AW187" s="21">
        <v>0</v>
      </c>
      <c r="AX187" s="21">
        <v>0</v>
      </c>
      <c r="AY187" s="21">
        <v>0</v>
      </c>
      <c r="AZ187" s="22">
        <v>0</v>
      </c>
      <c r="BA187" s="22" t="e">
        <f>MAX(#REF!-AZ187,0)</f>
        <v>#REF!</v>
      </c>
      <c r="BB187" s="23" t="e">
        <f>IF(SUMPRODUCT($J$85:BA$85,$J187:BA187)&lt;0.5, "Pending", IF(BA187&lt;0.5, "Complete", "In Progress"))</f>
        <v>#REF!</v>
      </c>
      <c r="BC187" s="22">
        <v>0</v>
      </c>
      <c r="BD187" s="22" t="e">
        <f t="shared" si="27"/>
        <v>#REF!</v>
      </c>
      <c r="BE187" s="23" t="e">
        <f>IF(SUMPRODUCT($J$85:BD$85,$J187:BD187)&lt;0.5, "Pending", IF(BD187&lt;0.5, "Complete", "In Progress"))</f>
        <v>#REF!</v>
      </c>
      <c r="BF187" s="22">
        <v>0</v>
      </c>
      <c r="BG187" s="22" t="e">
        <f t="shared" si="28"/>
        <v>#REF!</v>
      </c>
      <c r="BH187" s="23" t="e">
        <f>IF(SUMPRODUCT($J$85:BG$85,$J187:BG187)&lt;0.5, "Pending", IF(BG187&lt;0.5, "Complete", "In Progress"))</f>
        <v>#REF!</v>
      </c>
      <c r="BI187" s="22">
        <v>0</v>
      </c>
      <c r="BJ187" s="22" t="e">
        <f t="shared" si="29"/>
        <v>#REF!</v>
      </c>
      <c r="BK187" s="23" t="e">
        <f>IF(SUMPRODUCT($J$85:BJ$85,$J187:BJ187)&lt;0.5, "Pending", IF(BJ187&lt;0.5, "Complete", "In Progress"))</f>
        <v>#REF!</v>
      </c>
      <c r="BL187" s="22">
        <v>0</v>
      </c>
      <c r="BM187" s="22" t="e">
        <f t="shared" si="30"/>
        <v>#REF!</v>
      </c>
      <c r="BN187" s="23" t="e">
        <f>IF(SUMPRODUCT($J$85:BM$85,$J187:BM187)&lt;0.5, "Pending", IF(BM187&lt;0.5, "Complete", "In Progress"))</f>
        <v>#REF!</v>
      </c>
      <c r="BO187" s="22">
        <v>0</v>
      </c>
      <c r="BP187" s="22" t="e">
        <f t="shared" si="31"/>
        <v>#REF!</v>
      </c>
      <c r="BQ187" s="23" t="e">
        <f>IF(SUMPRODUCT($J$85:BP$85,$J187:BP187)&lt;0.5, "Pending", IF(BP187&lt;0.5, "Complete", "In Progress"))</f>
        <v>#REF!</v>
      </c>
      <c r="BR187" s="22">
        <v>0</v>
      </c>
      <c r="BS187" s="22" t="e">
        <f t="shared" si="32"/>
        <v>#REF!</v>
      </c>
      <c r="BT187" s="23" t="e">
        <f>IF(SUMPRODUCT($J$85:BS$85,$J187:BS187)&lt;0.5, "Pending", IF(BS187&lt;0.5, "Complete", "In Progress"))</f>
        <v>#REF!</v>
      </c>
      <c r="BU187" s="22">
        <v>0</v>
      </c>
      <c r="BV187" s="22" t="e">
        <f t="shared" si="33"/>
        <v>#REF!</v>
      </c>
      <c r="BW187" s="23" t="e">
        <f>IF(SUMPRODUCT($J$85:BV$85,$J187:BV187)&lt;0.5, "Pending", IF(BV187&lt;0.5, "Complete", "In Progress"))</f>
        <v>#REF!</v>
      </c>
      <c r="BX187" s="22">
        <v>0</v>
      </c>
      <c r="BY187" s="22" t="e">
        <f t="shared" si="34"/>
        <v>#REF!</v>
      </c>
      <c r="BZ187" s="23" t="e">
        <f>IF(SUMPRODUCT($J$85:BY$85,$J187:BY187)&lt;0.5, "Pending", IF(BY187&lt;0.5, "Complete", "In Progress"))</f>
        <v>#REF!</v>
      </c>
      <c r="CA187" s="22">
        <v>0</v>
      </c>
      <c r="CB187" s="22" t="e">
        <f t="shared" si="35"/>
        <v>#REF!</v>
      </c>
      <c r="CC187" s="23" t="e">
        <f>IF(SUMPRODUCT($J$85:CB$85,$J187:CB187)&lt;0.5, "Pending", IF(CB187&lt;0.5, "Complete", "In Progress"))</f>
        <v>#REF!</v>
      </c>
      <c r="CD187" s="24"/>
      <c r="CE187" s="25">
        <f>SUMPRODUCT($H$85:AY$85,$H187:AY187)</f>
        <v>43</v>
      </c>
    </row>
    <row r="188" spans="1:83" ht="13.8" customHeight="1" x14ac:dyDescent="0.25">
      <c r="A188" s="16" t="s">
        <v>104</v>
      </c>
      <c r="B188" s="16" t="s">
        <v>122</v>
      </c>
      <c r="C188" s="16" t="s">
        <v>524</v>
      </c>
      <c r="D188" s="17" t="s">
        <v>290</v>
      </c>
      <c r="E188" s="158" t="s">
        <v>482</v>
      </c>
      <c r="F188" s="158" t="s">
        <v>498</v>
      </c>
      <c r="G188" s="19"/>
      <c r="H188" s="20">
        <v>1</v>
      </c>
      <c r="I188" s="21">
        <v>6</v>
      </c>
      <c r="J188" s="21">
        <v>0</v>
      </c>
      <c r="K188" s="21">
        <v>0</v>
      </c>
      <c r="L188" s="21">
        <v>0</v>
      </c>
      <c r="M188" s="21">
        <v>0</v>
      </c>
      <c r="N188" s="21">
        <v>0</v>
      </c>
      <c r="O188" s="21">
        <v>0</v>
      </c>
      <c r="P188" s="21">
        <v>0</v>
      </c>
      <c r="Q188" s="21">
        <v>0</v>
      </c>
      <c r="R188" s="21">
        <v>0</v>
      </c>
      <c r="S188" s="21">
        <v>0</v>
      </c>
      <c r="T188" s="21">
        <v>0</v>
      </c>
      <c r="U188" s="21">
        <v>0</v>
      </c>
      <c r="V188" s="21">
        <v>0</v>
      </c>
      <c r="W188" s="21">
        <v>0</v>
      </c>
      <c r="X188" s="21">
        <v>0</v>
      </c>
      <c r="Y188" s="21">
        <v>0</v>
      </c>
      <c r="Z188" s="21">
        <v>0</v>
      </c>
      <c r="AA188" s="21">
        <v>0</v>
      </c>
      <c r="AB188" s="21">
        <v>0</v>
      </c>
      <c r="AC188" s="21">
        <v>0</v>
      </c>
      <c r="AD188" s="21">
        <v>0</v>
      </c>
      <c r="AE188" s="21">
        <v>0</v>
      </c>
      <c r="AF188" s="21">
        <v>0</v>
      </c>
      <c r="AG188" s="21">
        <v>0</v>
      </c>
      <c r="AH188" s="21">
        <v>0</v>
      </c>
      <c r="AI188" s="21">
        <v>0</v>
      </c>
      <c r="AJ188" s="21">
        <v>0</v>
      </c>
      <c r="AK188" s="21">
        <v>0</v>
      </c>
      <c r="AL188" s="21">
        <v>0</v>
      </c>
      <c r="AM188" s="21">
        <v>0</v>
      </c>
      <c r="AN188" s="21">
        <v>0</v>
      </c>
      <c r="AO188" s="21">
        <v>0</v>
      </c>
      <c r="AP188" s="21">
        <v>0</v>
      </c>
      <c r="AQ188" s="21">
        <v>0</v>
      </c>
      <c r="AR188" s="21">
        <v>0</v>
      </c>
      <c r="AS188" s="21">
        <v>0</v>
      </c>
      <c r="AT188" s="21">
        <v>0</v>
      </c>
      <c r="AU188" s="21">
        <v>0</v>
      </c>
      <c r="AV188" s="21">
        <v>0</v>
      </c>
      <c r="AW188" s="21">
        <v>0</v>
      </c>
      <c r="AX188" s="21">
        <v>0</v>
      </c>
      <c r="AY188" s="21">
        <v>0</v>
      </c>
      <c r="AZ188" s="22">
        <v>0</v>
      </c>
      <c r="BA188" s="22" t="e">
        <f>MAX(#REF!-AZ188,0)</f>
        <v>#REF!</v>
      </c>
      <c r="BB188" s="23" t="e">
        <f>IF(SUMPRODUCT($J$85:BA$85,$J188:BA188)&lt;0.5, "Pending", IF(BA188&lt;0.5, "Complete", "In Progress"))</f>
        <v>#REF!</v>
      </c>
      <c r="BC188" s="22">
        <v>0</v>
      </c>
      <c r="BD188" s="22" t="e">
        <f t="shared" si="27"/>
        <v>#REF!</v>
      </c>
      <c r="BE188" s="23" t="e">
        <f>IF(SUMPRODUCT($J$85:BD$85,$J188:BD188)&lt;0.5, "Pending", IF(BD188&lt;0.5, "Complete", "In Progress"))</f>
        <v>#REF!</v>
      </c>
      <c r="BF188" s="22">
        <v>0</v>
      </c>
      <c r="BG188" s="22" t="e">
        <f t="shared" si="28"/>
        <v>#REF!</v>
      </c>
      <c r="BH188" s="23" t="e">
        <f>IF(SUMPRODUCT($J$85:BG$85,$J188:BG188)&lt;0.5, "Pending", IF(BG188&lt;0.5, "Complete", "In Progress"))</f>
        <v>#REF!</v>
      </c>
      <c r="BI188" s="22">
        <v>0</v>
      </c>
      <c r="BJ188" s="22" t="e">
        <f t="shared" si="29"/>
        <v>#REF!</v>
      </c>
      <c r="BK188" s="23" t="e">
        <f>IF(SUMPRODUCT($J$85:BJ$85,$J188:BJ188)&lt;0.5, "Pending", IF(BJ188&lt;0.5, "Complete", "In Progress"))</f>
        <v>#REF!</v>
      </c>
      <c r="BL188" s="22">
        <v>0</v>
      </c>
      <c r="BM188" s="22" t="e">
        <f t="shared" si="30"/>
        <v>#REF!</v>
      </c>
      <c r="BN188" s="23" t="e">
        <f>IF(SUMPRODUCT($J$85:BM$85,$J188:BM188)&lt;0.5, "Pending", IF(BM188&lt;0.5, "Complete", "In Progress"))</f>
        <v>#REF!</v>
      </c>
      <c r="BO188" s="22">
        <v>0</v>
      </c>
      <c r="BP188" s="22" t="e">
        <f t="shared" si="31"/>
        <v>#REF!</v>
      </c>
      <c r="BQ188" s="23" t="e">
        <f>IF(SUMPRODUCT($J$85:BP$85,$J188:BP188)&lt;0.5, "Pending", IF(BP188&lt;0.5, "Complete", "In Progress"))</f>
        <v>#REF!</v>
      </c>
      <c r="BR188" s="22">
        <v>0</v>
      </c>
      <c r="BS188" s="22" t="e">
        <f t="shared" si="32"/>
        <v>#REF!</v>
      </c>
      <c r="BT188" s="23" t="e">
        <f>IF(SUMPRODUCT($J$85:BS$85,$J188:BS188)&lt;0.5, "Pending", IF(BS188&lt;0.5, "Complete", "In Progress"))</f>
        <v>#REF!</v>
      </c>
      <c r="BU188" s="22">
        <v>0</v>
      </c>
      <c r="BV188" s="22" t="e">
        <f t="shared" si="33"/>
        <v>#REF!</v>
      </c>
      <c r="BW188" s="23" t="e">
        <f>IF(SUMPRODUCT($J$85:BV$85,$J188:BV188)&lt;0.5, "Pending", IF(BV188&lt;0.5, "Complete", "In Progress"))</f>
        <v>#REF!</v>
      </c>
      <c r="BX188" s="22">
        <v>0</v>
      </c>
      <c r="BY188" s="22" t="e">
        <f t="shared" si="34"/>
        <v>#REF!</v>
      </c>
      <c r="BZ188" s="23" t="e">
        <f>IF(SUMPRODUCT($J$85:BY$85,$J188:BY188)&lt;0.5, "Pending", IF(BY188&lt;0.5, "Complete", "In Progress"))</f>
        <v>#REF!</v>
      </c>
      <c r="CA188" s="22">
        <v>0</v>
      </c>
      <c r="CB188" s="22" t="e">
        <f t="shared" si="35"/>
        <v>#REF!</v>
      </c>
      <c r="CC188" s="23" t="e">
        <f>IF(SUMPRODUCT($J$85:CB$85,$J188:CB188)&lt;0.5, "Pending", IF(CB188&lt;0.5, "Complete", "In Progress"))</f>
        <v>#REF!</v>
      </c>
      <c r="CD188" s="24"/>
      <c r="CE188" s="25">
        <f>SUMPRODUCT($H$85:AY$85,$H188:AY188)</f>
        <v>43</v>
      </c>
    </row>
    <row r="189" spans="1:83" ht="13.8" customHeight="1" x14ac:dyDescent="0.25">
      <c r="A189" s="16" t="s">
        <v>104</v>
      </c>
      <c r="B189" s="16" t="s">
        <v>122</v>
      </c>
      <c r="C189" s="16" t="s">
        <v>524</v>
      </c>
      <c r="D189" s="17" t="s">
        <v>291</v>
      </c>
      <c r="E189" s="158" t="s">
        <v>483</v>
      </c>
      <c r="F189" s="158" t="s">
        <v>496</v>
      </c>
      <c r="G189" s="19"/>
      <c r="H189" s="20">
        <v>1</v>
      </c>
      <c r="I189" s="21">
        <v>6</v>
      </c>
      <c r="J189" s="21">
        <v>0</v>
      </c>
      <c r="K189" s="21">
        <v>0</v>
      </c>
      <c r="L189" s="21">
        <v>0</v>
      </c>
      <c r="M189" s="21">
        <v>0</v>
      </c>
      <c r="N189" s="21">
        <v>0</v>
      </c>
      <c r="O189" s="21">
        <v>0</v>
      </c>
      <c r="P189" s="21">
        <v>0</v>
      </c>
      <c r="Q189" s="21">
        <v>0</v>
      </c>
      <c r="R189" s="21">
        <v>0</v>
      </c>
      <c r="S189" s="21">
        <v>0</v>
      </c>
      <c r="T189" s="21">
        <v>0</v>
      </c>
      <c r="U189" s="21">
        <v>0</v>
      </c>
      <c r="V189" s="21">
        <v>0</v>
      </c>
      <c r="W189" s="21">
        <v>0</v>
      </c>
      <c r="X189" s="21">
        <v>0</v>
      </c>
      <c r="Y189" s="21">
        <v>0</v>
      </c>
      <c r="Z189" s="21">
        <v>0</v>
      </c>
      <c r="AA189" s="21">
        <v>0</v>
      </c>
      <c r="AB189" s="21">
        <v>0</v>
      </c>
      <c r="AC189" s="21">
        <v>0</v>
      </c>
      <c r="AD189" s="21">
        <v>0</v>
      </c>
      <c r="AE189" s="21">
        <v>0</v>
      </c>
      <c r="AF189" s="21">
        <v>0</v>
      </c>
      <c r="AG189" s="21">
        <v>0</v>
      </c>
      <c r="AH189" s="21">
        <v>0</v>
      </c>
      <c r="AI189" s="21">
        <v>0</v>
      </c>
      <c r="AJ189" s="21">
        <v>0</v>
      </c>
      <c r="AK189" s="21">
        <v>0</v>
      </c>
      <c r="AL189" s="21">
        <v>0</v>
      </c>
      <c r="AM189" s="21">
        <v>0</v>
      </c>
      <c r="AN189" s="21">
        <v>0</v>
      </c>
      <c r="AO189" s="21">
        <v>0</v>
      </c>
      <c r="AP189" s="21">
        <v>0</v>
      </c>
      <c r="AQ189" s="21">
        <v>0</v>
      </c>
      <c r="AR189" s="21">
        <v>0</v>
      </c>
      <c r="AS189" s="21">
        <v>0</v>
      </c>
      <c r="AT189" s="21">
        <v>0</v>
      </c>
      <c r="AU189" s="21">
        <v>0</v>
      </c>
      <c r="AV189" s="21">
        <v>0</v>
      </c>
      <c r="AW189" s="21">
        <v>0</v>
      </c>
      <c r="AX189" s="21">
        <v>0</v>
      </c>
      <c r="AY189" s="21">
        <v>0</v>
      </c>
      <c r="AZ189" s="22">
        <v>0</v>
      </c>
      <c r="BA189" s="22" t="e">
        <f>MAX(#REF!-AZ189,0)</f>
        <v>#REF!</v>
      </c>
      <c r="BB189" s="23" t="e">
        <f>IF(SUMPRODUCT($J$85:BA$85,$J189:BA189)&lt;0.5, "Pending", IF(BA189&lt;0.5, "Complete", "In Progress"))</f>
        <v>#REF!</v>
      </c>
      <c r="BC189" s="22">
        <v>0</v>
      </c>
      <c r="BD189" s="22" t="e">
        <f t="shared" si="27"/>
        <v>#REF!</v>
      </c>
      <c r="BE189" s="23" t="e">
        <f>IF(SUMPRODUCT($J$85:BD$85,$J189:BD189)&lt;0.5, "Pending", IF(BD189&lt;0.5, "Complete", "In Progress"))</f>
        <v>#REF!</v>
      </c>
      <c r="BF189" s="22">
        <v>0</v>
      </c>
      <c r="BG189" s="22" t="e">
        <f t="shared" si="28"/>
        <v>#REF!</v>
      </c>
      <c r="BH189" s="23" t="e">
        <f>IF(SUMPRODUCT($J$85:BG$85,$J189:BG189)&lt;0.5, "Pending", IF(BG189&lt;0.5, "Complete", "In Progress"))</f>
        <v>#REF!</v>
      </c>
      <c r="BI189" s="22">
        <v>0</v>
      </c>
      <c r="BJ189" s="22" t="e">
        <f t="shared" si="29"/>
        <v>#REF!</v>
      </c>
      <c r="BK189" s="23" t="e">
        <f>IF(SUMPRODUCT($J$85:BJ$85,$J189:BJ189)&lt;0.5, "Pending", IF(BJ189&lt;0.5, "Complete", "In Progress"))</f>
        <v>#REF!</v>
      </c>
      <c r="BL189" s="22">
        <v>0</v>
      </c>
      <c r="BM189" s="22" t="e">
        <f t="shared" si="30"/>
        <v>#REF!</v>
      </c>
      <c r="BN189" s="23" t="e">
        <f>IF(SUMPRODUCT($J$85:BM$85,$J189:BM189)&lt;0.5, "Pending", IF(BM189&lt;0.5, "Complete", "In Progress"))</f>
        <v>#REF!</v>
      </c>
      <c r="BO189" s="22">
        <v>0</v>
      </c>
      <c r="BP189" s="22" t="e">
        <f t="shared" si="31"/>
        <v>#REF!</v>
      </c>
      <c r="BQ189" s="23" t="e">
        <f>IF(SUMPRODUCT($J$85:BP$85,$J189:BP189)&lt;0.5, "Pending", IF(BP189&lt;0.5, "Complete", "In Progress"))</f>
        <v>#REF!</v>
      </c>
      <c r="BR189" s="22">
        <v>0</v>
      </c>
      <c r="BS189" s="22" t="e">
        <f t="shared" si="32"/>
        <v>#REF!</v>
      </c>
      <c r="BT189" s="23" t="e">
        <f>IF(SUMPRODUCT($J$85:BS$85,$J189:BS189)&lt;0.5, "Pending", IF(BS189&lt;0.5, "Complete", "In Progress"))</f>
        <v>#REF!</v>
      </c>
      <c r="BU189" s="22">
        <v>0</v>
      </c>
      <c r="BV189" s="22" t="e">
        <f t="shared" si="33"/>
        <v>#REF!</v>
      </c>
      <c r="BW189" s="23" t="e">
        <f>IF(SUMPRODUCT($J$85:BV$85,$J189:BV189)&lt;0.5, "Pending", IF(BV189&lt;0.5, "Complete", "In Progress"))</f>
        <v>#REF!</v>
      </c>
      <c r="BX189" s="22">
        <v>0</v>
      </c>
      <c r="BY189" s="22" t="e">
        <f t="shared" si="34"/>
        <v>#REF!</v>
      </c>
      <c r="BZ189" s="23" t="e">
        <f>IF(SUMPRODUCT($J$85:BY$85,$J189:BY189)&lt;0.5, "Pending", IF(BY189&lt;0.5, "Complete", "In Progress"))</f>
        <v>#REF!</v>
      </c>
      <c r="CA189" s="22">
        <v>0</v>
      </c>
      <c r="CB189" s="22" t="e">
        <f t="shared" si="35"/>
        <v>#REF!</v>
      </c>
      <c r="CC189" s="23" t="e">
        <f>IF(SUMPRODUCT($J$85:CB$85,$J189:CB189)&lt;0.5, "Pending", IF(CB189&lt;0.5, "Complete", "In Progress"))</f>
        <v>#REF!</v>
      </c>
      <c r="CD189" s="24"/>
      <c r="CE189" s="25">
        <f>SUMPRODUCT($H$85:AY$85,$H189:AY189)</f>
        <v>43</v>
      </c>
    </row>
    <row r="190" spans="1:83" ht="13.8" customHeight="1" x14ac:dyDescent="0.25">
      <c r="A190" s="16" t="s">
        <v>104</v>
      </c>
      <c r="B190" s="16" t="s">
        <v>123</v>
      </c>
      <c r="C190" s="16" t="s">
        <v>524</v>
      </c>
      <c r="D190" s="17" t="s">
        <v>292</v>
      </c>
      <c r="E190" s="158" t="s">
        <v>484</v>
      </c>
      <c r="F190" s="158" t="s">
        <v>495</v>
      </c>
      <c r="G190" s="169"/>
      <c r="H190" s="20">
        <v>1</v>
      </c>
      <c r="I190" s="21">
        <v>6</v>
      </c>
      <c r="J190" s="21">
        <v>0</v>
      </c>
      <c r="K190" s="21">
        <v>0</v>
      </c>
      <c r="L190" s="21">
        <v>0</v>
      </c>
      <c r="M190" s="21">
        <v>0</v>
      </c>
      <c r="N190" s="21">
        <v>0</v>
      </c>
      <c r="O190" s="21">
        <v>0</v>
      </c>
      <c r="P190" s="21">
        <v>0</v>
      </c>
      <c r="Q190" s="21">
        <v>0</v>
      </c>
      <c r="R190" s="21">
        <v>0</v>
      </c>
      <c r="S190" s="21">
        <v>0</v>
      </c>
      <c r="T190" s="21">
        <v>0</v>
      </c>
      <c r="U190" s="21">
        <v>0</v>
      </c>
      <c r="V190" s="21">
        <v>0</v>
      </c>
      <c r="W190" s="21">
        <v>0</v>
      </c>
      <c r="X190" s="21">
        <v>0</v>
      </c>
      <c r="Y190" s="21">
        <v>0</v>
      </c>
      <c r="Z190" s="21">
        <v>0</v>
      </c>
      <c r="AA190" s="21">
        <v>0</v>
      </c>
      <c r="AB190" s="21">
        <v>0</v>
      </c>
      <c r="AC190" s="21">
        <v>0</v>
      </c>
      <c r="AD190" s="21">
        <v>0</v>
      </c>
      <c r="AE190" s="21">
        <v>0</v>
      </c>
      <c r="AF190" s="21">
        <v>0</v>
      </c>
      <c r="AG190" s="21">
        <v>0</v>
      </c>
      <c r="AH190" s="21">
        <v>0</v>
      </c>
      <c r="AI190" s="21">
        <v>0</v>
      </c>
      <c r="AJ190" s="21">
        <v>0</v>
      </c>
      <c r="AK190" s="21">
        <v>0</v>
      </c>
      <c r="AL190" s="21">
        <v>0</v>
      </c>
      <c r="AM190" s="21">
        <v>0</v>
      </c>
      <c r="AN190" s="21">
        <v>0</v>
      </c>
      <c r="AO190" s="21">
        <v>0</v>
      </c>
      <c r="AP190" s="21">
        <v>0</v>
      </c>
      <c r="AQ190" s="21">
        <v>0</v>
      </c>
      <c r="AR190" s="21">
        <v>0</v>
      </c>
      <c r="AS190" s="21">
        <v>0</v>
      </c>
      <c r="AT190" s="21">
        <v>0</v>
      </c>
      <c r="AU190" s="21">
        <v>0</v>
      </c>
      <c r="AV190" s="21">
        <v>0</v>
      </c>
      <c r="AW190" s="21">
        <v>0</v>
      </c>
      <c r="AX190" s="21">
        <v>0</v>
      </c>
      <c r="AY190" s="21">
        <v>0</v>
      </c>
      <c r="AZ190" s="22">
        <v>0</v>
      </c>
      <c r="BA190" s="22" t="e">
        <f>MAX(#REF!-AZ190,0)</f>
        <v>#REF!</v>
      </c>
      <c r="BB190" s="23" t="e">
        <f>IF(SUMPRODUCT($J$85:BA$85,$J190:BA190)&lt;0.5, "Pending", IF(BA190&lt;0.5, "Complete", "In Progress"))</f>
        <v>#REF!</v>
      </c>
      <c r="BC190" s="22">
        <v>0</v>
      </c>
      <c r="BD190" s="22" t="e">
        <f t="shared" si="27"/>
        <v>#REF!</v>
      </c>
      <c r="BE190" s="23" t="e">
        <f>IF(SUMPRODUCT($J$85:BD$85,$J190:BD190)&lt;0.5, "Pending", IF(BD190&lt;0.5, "Complete", "In Progress"))</f>
        <v>#REF!</v>
      </c>
      <c r="BF190" s="22">
        <v>0</v>
      </c>
      <c r="BG190" s="22" t="e">
        <f t="shared" si="28"/>
        <v>#REF!</v>
      </c>
      <c r="BH190" s="23" t="e">
        <f>IF(SUMPRODUCT($J$85:BG$85,$J190:BG190)&lt;0.5, "Pending", IF(BG190&lt;0.5, "Complete", "In Progress"))</f>
        <v>#REF!</v>
      </c>
      <c r="BI190" s="22">
        <v>0</v>
      </c>
      <c r="BJ190" s="22" t="e">
        <f t="shared" si="29"/>
        <v>#REF!</v>
      </c>
      <c r="BK190" s="23" t="e">
        <f>IF(SUMPRODUCT($J$85:BJ$85,$J190:BJ190)&lt;0.5, "Pending", IF(BJ190&lt;0.5, "Complete", "In Progress"))</f>
        <v>#REF!</v>
      </c>
      <c r="BL190" s="22">
        <v>0</v>
      </c>
      <c r="BM190" s="22" t="e">
        <f t="shared" si="30"/>
        <v>#REF!</v>
      </c>
      <c r="BN190" s="23" t="e">
        <f>IF(SUMPRODUCT($J$85:BM$85,$J190:BM190)&lt;0.5, "Pending", IF(BM190&lt;0.5, "Complete", "In Progress"))</f>
        <v>#REF!</v>
      </c>
      <c r="BO190" s="22">
        <v>0</v>
      </c>
      <c r="BP190" s="22" t="e">
        <f t="shared" si="31"/>
        <v>#REF!</v>
      </c>
      <c r="BQ190" s="23" t="e">
        <f>IF(SUMPRODUCT($J$85:BP$85,$J190:BP190)&lt;0.5, "Pending", IF(BP190&lt;0.5, "Complete", "In Progress"))</f>
        <v>#REF!</v>
      </c>
      <c r="BR190" s="22">
        <v>0</v>
      </c>
      <c r="BS190" s="22" t="e">
        <f t="shared" si="32"/>
        <v>#REF!</v>
      </c>
      <c r="BT190" s="23" t="e">
        <f>IF(SUMPRODUCT($J$85:BS$85,$J190:BS190)&lt;0.5, "Pending", IF(BS190&lt;0.5, "Complete", "In Progress"))</f>
        <v>#REF!</v>
      </c>
      <c r="BU190" s="22">
        <v>0</v>
      </c>
      <c r="BV190" s="22" t="e">
        <f t="shared" si="33"/>
        <v>#REF!</v>
      </c>
      <c r="BW190" s="23" t="e">
        <f>IF(SUMPRODUCT($J$85:BV$85,$J190:BV190)&lt;0.5, "Pending", IF(BV190&lt;0.5, "Complete", "In Progress"))</f>
        <v>#REF!</v>
      </c>
      <c r="BX190" s="22">
        <v>0</v>
      </c>
      <c r="BY190" s="22" t="e">
        <f t="shared" si="34"/>
        <v>#REF!</v>
      </c>
      <c r="BZ190" s="23" t="e">
        <f>IF(SUMPRODUCT($J$85:BY$85,$J190:BY190)&lt;0.5, "Pending", IF(BY190&lt;0.5, "Complete", "In Progress"))</f>
        <v>#REF!</v>
      </c>
      <c r="CA190" s="22">
        <v>0</v>
      </c>
      <c r="CB190" s="22" t="e">
        <f t="shared" si="35"/>
        <v>#REF!</v>
      </c>
      <c r="CC190" s="23" t="e">
        <f>IF(SUMPRODUCT($J$85:CB$85,$J190:CB190)&lt;0.5, "Pending", IF(CB190&lt;0.5, "Complete", "In Progress"))</f>
        <v>#REF!</v>
      </c>
      <c r="CD190" s="24"/>
      <c r="CE190" s="25">
        <f>SUMPRODUCT($H$85:AY$85,$H190:AY190)</f>
        <v>43</v>
      </c>
    </row>
    <row r="191" spans="1:83" ht="13.8" customHeight="1" x14ac:dyDescent="0.25">
      <c r="A191" s="16" t="s">
        <v>104</v>
      </c>
      <c r="B191" s="16" t="s">
        <v>121</v>
      </c>
      <c r="C191" s="16" t="s">
        <v>524</v>
      </c>
      <c r="D191" s="17" t="s">
        <v>293</v>
      </c>
      <c r="E191" s="158" t="s">
        <v>485</v>
      </c>
      <c r="F191" s="158" t="s">
        <v>493</v>
      </c>
      <c r="G191" s="168"/>
      <c r="H191" s="20">
        <v>1</v>
      </c>
      <c r="I191" s="21">
        <v>56</v>
      </c>
      <c r="J191" s="21">
        <v>0</v>
      </c>
      <c r="K191" s="21">
        <v>0</v>
      </c>
      <c r="L191" s="21">
        <v>0</v>
      </c>
      <c r="M191" s="21">
        <v>0</v>
      </c>
      <c r="N191" s="21">
        <v>0</v>
      </c>
      <c r="O191" s="21">
        <v>0</v>
      </c>
      <c r="P191" s="21">
        <v>0</v>
      </c>
      <c r="Q191" s="21">
        <v>0</v>
      </c>
      <c r="R191" s="21">
        <v>0</v>
      </c>
      <c r="S191" s="21">
        <v>0</v>
      </c>
      <c r="T191" s="21">
        <v>0</v>
      </c>
      <c r="U191" s="21">
        <v>0</v>
      </c>
      <c r="V191" s="21">
        <v>0</v>
      </c>
      <c r="W191" s="21">
        <v>0</v>
      </c>
      <c r="X191" s="21">
        <v>0</v>
      </c>
      <c r="Y191" s="21">
        <v>0</v>
      </c>
      <c r="Z191" s="21">
        <v>0</v>
      </c>
      <c r="AA191" s="21">
        <v>0</v>
      </c>
      <c r="AB191" s="21">
        <v>0</v>
      </c>
      <c r="AC191" s="21">
        <v>0</v>
      </c>
      <c r="AD191" s="21">
        <v>0</v>
      </c>
      <c r="AE191" s="21">
        <v>0</v>
      </c>
      <c r="AF191" s="21">
        <v>0</v>
      </c>
      <c r="AG191" s="21">
        <v>0</v>
      </c>
      <c r="AH191" s="21">
        <v>0</v>
      </c>
      <c r="AI191" s="21">
        <v>0</v>
      </c>
      <c r="AJ191" s="21">
        <v>0</v>
      </c>
      <c r="AK191" s="21">
        <v>0</v>
      </c>
      <c r="AL191" s="21">
        <v>0</v>
      </c>
      <c r="AM191" s="21">
        <v>0</v>
      </c>
      <c r="AN191" s="21">
        <v>0</v>
      </c>
      <c r="AO191" s="21">
        <v>0</v>
      </c>
      <c r="AP191" s="21">
        <v>0</v>
      </c>
      <c r="AQ191" s="21">
        <v>0</v>
      </c>
      <c r="AR191" s="21">
        <v>0</v>
      </c>
      <c r="AS191" s="21">
        <v>0</v>
      </c>
      <c r="AT191" s="21">
        <v>0</v>
      </c>
      <c r="AU191" s="21">
        <v>0</v>
      </c>
      <c r="AV191" s="21">
        <v>0</v>
      </c>
      <c r="AW191" s="21">
        <v>0</v>
      </c>
      <c r="AX191" s="21">
        <v>0</v>
      </c>
      <c r="AY191" s="21">
        <v>0</v>
      </c>
      <c r="AZ191" s="22">
        <v>0</v>
      </c>
      <c r="BA191" s="22" t="e">
        <f>MAX(#REF!-AZ191,0)</f>
        <v>#REF!</v>
      </c>
      <c r="BB191" s="23" t="e">
        <f>IF(SUMPRODUCT($J$85:BA$85,$J191:BA191)&lt;0.5, "Pending", IF(BA191&lt;0.5, "Complete", "In Progress"))</f>
        <v>#REF!</v>
      </c>
      <c r="BC191" s="22">
        <v>0</v>
      </c>
      <c r="BD191" s="22" t="e">
        <f t="shared" si="27"/>
        <v>#REF!</v>
      </c>
      <c r="BE191" s="23" t="e">
        <f>IF(SUMPRODUCT($J$85:BD$85,$J191:BD191)&lt;0.5, "Pending", IF(BD191&lt;0.5, "Complete", "In Progress"))</f>
        <v>#REF!</v>
      </c>
      <c r="BF191" s="22">
        <v>0</v>
      </c>
      <c r="BG191" s="22" t="e">
        <f t="shared" si="28"/>
        <v>#REF!</v>
      </c>
      <c r="BH191" s="23" t="e">
        <f>IF(SUMPRODUCT($J$85:BG$85,$J191:BG191)&lt;0.5, "Pending", IF(BG191&lt;0.5, "Complete", "In Progress"))</f>
        <v>#REF!</v>
      </c>
      <c r="BI191" s="22">
        <v>0</v>
      </c>
      <c r="BJ191" s="22" t="e">
        <f t="shared" si="29"/>
        <v>#REF!</v>
      </c>
      <c r="BK191" s="23" t="e">
        <f>IF(SUMPRODUCT($J$85:BJ$85,$J191:BJ191)&lt;0.5, "Pending", IF(BJ191&lt;0.5, "Complete", "In Progress"))</f>
        <v>#REF!</v>
      </c>
      <c r="BL191" s="22">
        <v>0</v>
      </c>
      <c r="BM191" s="22" t="e">
        <f t="shared" si="30"/>
        <v>#REF!</v>
      </c>
      <c r="BN191" s="23" t="e">
        <f>IF(SUMPRODUCT($J$85:BM$85,$J191:BM191)&lt;0.5, "Pending", IF(BM191&lt;0.5, "Complete", "In Progress"))</f>
        <v>#REF!</v>
      </c>
      <c r="BO191" s="22">
        <v>0</v>
      </c>
      <c r="BP191" s="22" t="e">
        <f t="shared" si="31"/>
        <v>#REF!</v>
      </c>
      <c r="BQ191" s="23" t="e">
        <f>IF(SUMPRODUCT($J$85:BP$85,$J191:BP191)&lt;0.5, "Pending", IF(BP191&lt;0.5, "Complete", "In Progress"))</f>
        <v>#REF!</v>
      </c>
      <c r="BR191" s="22">
        <v>0</v>
      </c>
      <c r="BS191" s="22" t="e">
        <f t="shared" si="32"/>
        <v>#REF!</v>
      </c>
      <c r="BT191" s="23" t="e">
        <f>IF(SUMPRODUCT($J$85:BS$85,$J191:BS191)&lt;0.5, "Pending", IF(BS191&lt;0.5, "Complete", "In Progress"))</f>
        <v>#REF!</v>
      </c>
      <c r="BU191" s="22">
        <v>0</v>
      </c>
      <c r="BV191" s="22" t="e">
        <f t="shared" si="33"/>
        <v>#REF!</v>
      </c>
      <c r="BW191" s="23" t="e">
        <f>IF(SUMPRODUCT($J$85:BV$85,$J191:BV191)&lt;0.5, "Pending", IF(BV191&lt;0.5, "Complete", "In Progress"))</f>
        <v>#REF!</v>
      </c>
      <c r="BX191" s="22">
        <v>0</v>
      </c>
      <c r="BY191" s="22" t="e">
        <f t="shared" si="34"/>
        <v>#REF!</v>
      </c>
      <c r="BZ191" s="23" t="e">
        <f>IF(SUMPRODUCT($J$85:BY$85,$J191:BY191)&lt;0.5, "Pending", IF(BY191&lt;0.5, "Complete", "In Progress"))</f>
        <v>#REF!</v>
      </c>
      <c r="CA191" s="22">
        <v>0</v>
      </c>
      <c r="CB191" s="22" t="e">
        <f t="shared" si="35"/>
        <v>#REF!</v>
      </c>
      <c r="CC191" s="23" t="e">
        <f>IF(SUMPRODUCT($J$85:CB$85,$J191:CB191)&lt;0.5, "Pending", IF(CB191&lt;0.5, "Complete", "In Progress"))</f>
        <v>#REF!</v>
      </c>
      <c r="CD191" s="24"/>
      <c r="CE191" s="25">
        <f>SUMPRODUCT($H$85:AY$85,$H191:AY191)</f>
        <v>393</v>
      </c>
    </row>
    <row r="192" spans="1:83" ht="13.8" customHeight="1" x14ac:dyDescent="0.25">
      <c r="A192" s="16" t="s">
        <v>104</v>
      </c>
      <c r="B192" s="16" t="s">
        <v>122</v>
      </c>
      <c r="C192" s="16" t="s">
        <v>524</v>
      </c>
      <c r="D192" s="17" t="s">
        <v>294</v>
      </c>
      <c r="E192" s="158" t="s">
        <v>486</v>
      </c>
      <c r="F192" s="158" t="s">
        <v>494</v>
      </c>
      <c r="G192" s="19"/>
      <c r="H192" s="20">
        <v>1</v>
      </c>
      <c r="I192" s="21">
        <v>6</v>
      </c>
      <c r="J192" s="21">
        <v>0</v>
      </c>
      <c r="K192" s="21">
        <v>0</v>
      </c>
      <c r="L192" s="21">
        <v>0</v>
      </c>
      <c r="M192" s="21">
        <v>0</v>
      </c>
      <c r="N192" s="21">
        <v>0</v>
      </c>
      <c r="O192" s="21">
        <v>0</v>
      </c>
      <c r="P192" s="21">
        <v>0</v>
      </c>
      <c r="Q192" s="21">
        <v>0</v>
      </c>
      <c r="R192" s="21">
        <v>0</v>
      </c>
      <c r="S192" s="21">
        <v>0</v>
      </c>
      <c r="T192" s="21">
        <v>0</v>
      </c>
      <c r="U192" s="21">
        <v>0</v>
      </c>
      <c r="V192" s="21">
        <v>0</v>
      </c>
      <c r="W192" s="21">
        <v>0</v>
      </c>
      <c r="X192" s="21">
        <v>0</v>
      </c>
      <c r="Y192" s="21">
        <v>0</v>
      </c>
      <c r="Z192" s="21">
        <v>0</v>
      </c>
      <c r="AA192" s="21">
        <v>0</v>
      </c>
      <c r="AB192" s="21">
        <v>0</v>
      </c>
      <c r="AC192" s="21">
        <v>0</v>
      </c>
      <c r="AD192" s="21">
        <v>0</v>
      </c>
      <c r="AE192" s="21">
        <v>0</v>
      </c>
      <c r="AF192" s="21">
        <v>0</v>
      </c>
      <c r="AG192" s="21">
        <v>0</v>
      </c>
      <c r="AH192" s="21">
        <v>0</v>
      </c>
      <c r="AI192" s="21">
        <v>0</v>
      </c>
      <c r="AJ192" s="21">
        <v>0</v>
      </c>
      <c r="AK192" s="21">
        <v>0</v>
      </c>
      <c r="AL192" s="21">
        <v>0</v>
      </c>
      <c r="AM192" s="21">
        <v>0</v>
      </c>
      <c r="AN192" s="21">
        <v>0</v>
      </c>
      <c r="AO192" s="21">
        <v>0</v>
      </c>
      <c r="AP192" s="21">
        <v>0</v>
      </c>
      <c r="AQ192" s="21">
        <v>0</v>
      </c>
      <c r="AR192" s="21">
        <v>0</v>
      </c>
      <c r="AS192" s="21">
        <v>0</v>
      </c>
      <c r="AT192" s="21">
        <v>0</v>
      </c>
      <c r="AU192" s="21">
        <v>0</v>
      </c>
      <c r="AV192" s="21">
        <v>0</v>
      </c>
      <c r="AW192" s="21">
        <v>0</v>
      </c>
      <c r="AX192" s="21">
        <v>0</v>
      </c>
      <c r="AY192" s="21">
        <v>0</v>
      </c>
      <c r="AZ192" s="22">
        <v>0</v>
      </c>
      <c r="BA192" s="22" t="e">
        <f>MAX(#REF!-AZ192,0)</f>
        <v>#REF!</v>
      </c>
      <c r="BB192" s="23" t="e">
        <f>IF(SUMPRODUCT($J$85:BA$85,$J192:BA192)&lt;0.5, "Pending", IF(BA192&lt;0.5, "Complete", "In Progress"))</f>
        <v>#REF!</v>
      </c>
      <c r="BC192" s="22">
        <v>0</v>
      </c>
      <c r="BD192" s="22" t="e">
        <f t="shared" si="27"/>
        <v>#REF!</v>
      </c>
      <c r="BE192" s="23" t="e">
        <f>IF(SUMPRODUCT($J$85:BD$85,$J192:BD192)&lt;0.5, "Pending", IF(BD192&lt;0.5, "Complete", "In Progress"))</f>
        <v>#REF!</v>
      </c>
      <c r="BF192" s="22">
        <v>0</v>
      </c>
      <c r="BG192" s="22" t="e">
        <f t="shared" si="28"/>
        <v>#REF!</v>
      </c>
      <c r="BH192" s="23" t="e">
        <f>IF(SUMPRODUCT($J$85:BG$85,$J192:BG192)&lt;0.5, "Pending", IF(BG192&lt;0.5, "Complete", "In Progress"))</f>
        <v>#REF!</v>
      </c>
      <c r="BI192" s="22">
        <v>0</v>
      </c>
      <c r="BJ192" s="22" t="e">
        <f t="shared" si="29"/>
        <v>#REF!</v>
      </c>
      <c r="BK192" s="23" t="e">
        <f>IF(SUMPRODUCT($J$85:BJ$85,$J192:BJ192)&lt;0.5, "Pending", IF(BJ192&lt;0.5, "Complete", "In Progress"))</f>
        <v>#REF!</v>
      </c>
      <c r="BL192" s="22">
        <v>0</v>
      </c>
      <c r="BM192" s="22" t="e">
        <f t="shared" si="30"/>
        <v>#REF!</v>
      </c>
      <c r="BN192" s="23" t="e">
        <f>IF(SUMPRODUCT($J$85:BM$85,$J192:BM192)&lt;0.5, "Pending", IF(BM192&lt;0.5, "Complete", "In Progress"))</f>
        <v>#REF!</v>
      </c>
      <c r="BO192" s="22">
        <v>0</v>
      </c>
      <c r="BP192" s="22" t="e">
        <f t="shared" si="31"/>
        <v>#REF!</v>
      </c>
      <c r="BQ192" s="23" t="e">
        <f>IF(SUMPRODUCT($J$85:BP$85,$J192:BP192)&lt;0.5, "Pending", IF(BP192&lt;0.5, "Complete", "In Progress"))</f>
        <v>#REF!</v>
      </c>
      <c r="BR192" s="22">
        <v>0</v>
      </c>
      <c r="BS192" s="22" t="e">
        <f t="shared" si="32"/>
        <v>#REF!</v>
      </c>
      <c r="BT192" s="23" t="e">
        <f>IF(SUMPRODUCT($J$85:BS$85,$J192:BS192)&lt;0.5, "Pending", IF(BS192&lt;0.5, "Complete", "In Progress"))</f>
        <v>#REF!</v>
      </c>
      <c r="BU192" s="22">
        <v>0</v>
      </c>
      <c r="BV192" s="22" t="e">
        <f t="shared" si="33"/>
        <v>#REF!</v>
      </c>
      <c r="BW192" s="23" t="e">
        <f>IF(SUMPRODUCT($J$85:BV$85,$J192:BV192)&lt;0.5, "Pending", IF(BV192&lt;0.5, "Complete", "In Progress"))</f>
        <v>#REF!</v>
      </c>
      <c r="BX192" s="22">
        <v>0</v>
      </c>
      <c r="BY192" s="22" t="e">
        <f t="shared" si="34"/>
        <v>#REF!</v>
      </c>
      <c r="BZ192" s="23" t="e">
        <f>IF(SUMPRODUCT($J$85:BY$85,$J192:BY192)&lt;0.5, "Pending", IF(BY192&lt;0.5, "Complete", "In Progress"))</f>
        <v>#REF!</v>
      </c>
      <c r="CA192" s="22">
        <v>0</v>
      </c>
      <c r="CB192" s="22" t="e">
        <f t="shared" si="35"/>
        <v>#REF!</v>
      </c>
      <c r="CC192" s="23" t="e">
        <f>IF(SUMPRODUCT($J$85:CB$85,$J192:CB192)&lt;0.5, "Pending", IF(CB192&lt;0.5, "Complete", "In Progress"))</f>
        <v>#REF!</v>
      </c>
      <c r="CD192" s="24"/>
      <c r="CE192" s="25">
        <f>SUMPRODUCT($H$85:AY$85,$H192:AY192)</f>
        <v>43</v>
      </c>
    </row>
    <row r="193" spans="1:83" ht="13.8" customHeight="1" x14ac:dyDescent="0.25">
      <c r="A193" s="16" t="s">
        <v>104</v>
      </c>
      <c r="B193" s="16" t="s">
        <v>110</v>
      </c>
      <c r="C193" s="16" t="s">
        <v>524</v>
      </c>
      <c r="D193" s="17" t="s">
        <v>295</v>
      </c>
      <c r="E193" s="158" t="s">
        <v>487</v>
      </c>
      <c r="F193" s="158" t="s">
        <v>497</v>
      </c>
      <c r="G193" s="19"/>
      <c r="H193" s="20">
        <v>1</v>
      </c>
      <c r="I193" s="21">
        <v>6</v>
      </c>
      <c r="J193" s="21">
        <v>0</v>
      </c>
      <c r="K193" s="21">
        <v>0</v>
      </c>
      <c r="L193" s="21">
        <v>0</v>
      </c>
      <c r="M193" s="21">
        <v>0</v>
      </c>
      <c r="N193" s="21">
        <v>0</v>
      </c>
      <c r="O193" s="21">
        <v>0</v>
      </c>
      <c r="P193" s="21">
        <v>0</v>
      </c>
      <c r="Q193" s="21">
        <v>0</v>
      </c>
      <c r="R193" s="21">
        <v>0</v>
      </c>
      <c r="S193" s="21">
        <v>0</v>
      </c>
      <c r="T193" s="21">
        <v>0</v>
      </c>
      <c r="U193" s="21">
        <v>0</v>
      </c>
      <c r="V193" s="21">
        <v>0</v>
      </c>
      <c r="W193" s="21">
        <v>0</v>
      </c>
      <c r="X193" s="21">
        <v>0</v>
      </c>
      <c r="Y193" s="21">
        <v>0</v>
      </c>
      <c r="Z193" s="21">
        <v>0</v>
      </c>
      <c r="AA193" s="21">
        <v>0</v>
      </c>
      <c r="AB193" s="21">
        <v>0</v>
      </c>
      <c r="AC193" s="21">
        <v>0</v>
      </c>
      <c r="AD193" s="21">
        <v>0</v>
      </c>
      <c r="AE193" s="21">
        <v>0</v>
      </c>
      <c r="AF193" s="21">
        <v>0</v>
      </c>
      <c r="AG193" s="21">
        <v>0</v>
      </c>
      <c r="AH193" s="21">
        <v>0</v>
      </c>
      <c r="AI193" s="21">
        <v>0</v>
      </c>
      <c r="AJ193" s="21">
        <v>0</v>
      </c>
      <c r="AK193" s="21">
        <v>0</v>
      </c>
      <c r="AL193" s="21">
        <v>0</v>
      </c>
      <c r="AM193" s="21">
        <v>0</v>
      </c>
      <c r="AN193" s="21">
        <v>0</v>
      </c>
      <c r="AO193" s="21">
        <v>0</v>
      </c>
      <c r="AP193" s="21">
        <v>0</v>
      </c>
      <c r="AQ193" s="21">
        <v>0</v>
      </c>
      <c r="AR193" s="21">
        <v>0</v>
      </c>
      <c r="AS193" s="21">
        <v>0</v>
      </c>
      <c r="AT193" s="21">
        <v>0</v>
      </c>
      <c r="AU193" s="21">
        <v>0</v>
      </c>
      <c r="AV193" s="21">
        <v>0</v>
      </c>
      <c r="AW193" s="21">
        <v>0</v>
      </c>
      <c r="AX193" s="21">
        <v>0</v>
      </c>
      <c r="AY193" s="21">
        <v>0</v>
      </c>
      <c r="AZ193" s="22">
        <v>0</v>
      </c>
      <c r="BA193" s="22" t="e">
        <f>MAX(#REF!-AZ193,0)</f>
        <v>#REF!</v>
      </c>
      <c r="BB193" s="23" t="e">
        <f>IF(SUMPRODUCT($J$85:BA$85,$J193:BA193)&lt;0.5, "Pending", IF(BA193&lt;0.5, "Complete", "In Progress"))</f>
        <v>#REF!</v>
      </c>
      <c r="BC193" s="22">
        <v>0</v>
      </c>
      <c r="BD193" s="22" t="e">
        <f t="shared" si="27"/>
        <v>#REF!</v>
      </c>
      <c r="BE193" s="23" t="e">
        <f>IF(SUMPRODUCT($J$85:BD$85,$J193:BD193)&lt;0.5, "Pending", IF(BD193&lt;0.5, "Complete", "In Progress"))</f>
        <v>#REF!</v>
      </c>
      <c r="BF193" s="22">
        <v>0</v>
      </c>
      <c r="BG193" s="22" t="e">
        <f t="shared" si="28"/>
        <v>#REF!</v>
      </c>
      <c r="BH193" s="23" t="e">
        <f>IF(SUMPRODUCT($J$85:BG$85,$J193:BG193)&lt;0.5, "Pending", IF(BG193&lt;0.5, "Complete", "In Progress"))</f>
        <v>#REF!</v>
      </c>
      <c r="BI193" s="22">
        <v>0</v>
      </c>
      <c r="BJ193" s="22" t="e">
        <f t="shared" si="29"/>
        <v>#REF!</v>
      </c>
      <c r="BK193" s="23" t="e">
        <f>IF(SUMPRODUCT($J$85:BJ$85,$J193:BJ193)&lt;0.5, "Pending", IF(BJ193&lt;0.5, "Complete", "In Progress"))</f>
        <v>#REF!</v>
      </c>
      <c r="BL193" s="22">
        <v>0</v>
      </c>
      <c r="BM193" s="22" t="e">
        <f t="shared" si="30"/>
        <v>#REF!</v>
      </c>
      <c r="BN193" s="23" t="e">
        <f>IF(SUMPRODUCT($J$85:BM$85,$J193:BM193)&lt;0.5, "Pending", IF(BM193&lt;0.5, "Complete", "In Progress"))</f>
        <v>#REF!</v>
      </c>
      <c r="BO193" s="22">
        <v>0</v>
      </c>
      <c r="BP193" s="22" t="e">
        <f t="shared" si="31"/>
        <v>#REF!</v>
      </c>
      <c r="BQ193" s="23" t="e">
        <f>IF(SUMPRODUCT($J$85:BP$85,$J193:BP193)&lt;0.5, "Pending", IF(BP193&lt;0.5, "Complete", "In Progress"))</f>
        <v>#REF!</v>
      </c>
      <c r="BR193" s="22">
        <v>0</v>
      </c>
      <c r="BS193" s="22" t="e">
        <f t="shared" si="32"/>
        <v>#REF!</v>
      </c>
      <c r="BT193" s="23" t="e">
        <f>IF(SUMPRODUCT($J$85:BS$85,$J193:BS193)&lt;0.5, "Pending", IF(BS193&lt;0.5, "Complete", "In Progress"))</f>
        <v>#REF!</v>
      </c>
      <c r="BU193" s="22">
        <v>0</v>
      </c>
      <c r="BV193" s="22" t="e">
        <f t="shared" si="33"/>
        <v>#REF!</v>
      </c>
      <c r="BW193" s="23" t="e">
        <f>IF(SUMPRODUCT($J$85:BV$85,$J193:BV193)&lt;0.5, "Pending", IF(BV193&lt;0.5, "Complete", "In Progress"))</f>
        <v>#REF!</v>
      </c>
      <c r="BX193" s="22">
        <v>0</v>
      </c>
      <c r="BY193" s="22" t="e">
        <f t="shared" si="34"/>
        <v>#REF!</v>
      </c>
      <c r="BZ193" s="23" t="e">
        <f>IF(SUMPRODUCT($J$85:BY$85,$J193:BY193)&lt;0.5, "Pending", IF(BY193&lt;0.5, "Complete", "In Progress"))</f>
        <v>#REF!</v>
      </c>
      <c r="CA193" s="22">
        <v>0</v>
      </c>
      <c r="CB193" s="22" t="e">
        <f t="shared" si="35"/>
        <v>#REF!</v>
      </c>
      <c r="CC193" s="23" t="e">
        <f>IF(SUMPRODUCT($J$85:CB$85,$J193:CB193)&lt;0.5, "Pending", IF(CB193&lt;0.5, "Complete", "In Progress"))</f>
        <v>#REF!</v>
      </c>
      <c r="CD193" s="24"/>
      <c r="CE193" s="25">
        <f>SUMPRODUCT($H$85:AY$85,$H193:AY193)</f>
        <v>43</v>
      </c>
    </row>
    <row r="194" spans="1:83" ht="13.8" customHeight="1" x14ac:dyDescent="0.25">
      <c r="A194" s="16" t="s">
        <v>104</v>
      </c>
      <c r="B194" s="16" t="s">
        <v>110</v>
      </c>
      <c r="C194" s="16" t="s">
        <v>524</v>
      </c>
      <c r="D194" s="17" t="s">
        <v>296</v>
      </c>
      <c r="E194" s="158" t="s">
        <v>488</v>
      </c>
      <c r="F194" s="158" t="s">
        <v>498</v>
      </c>
      <c r="G194" s="19"/>
      <c r="H194" s="20">
        <v>1</v>
      </c>
      <c r="I194" s="21">
        <v>6</v>
      </c>
      <c r="J194" s="21">
        <v>0</v>
      </c>
      <c r="K194" s="21">
        <v>0</v>
      </c>
      <c r="L194" s="21">
        <v>0</v>
      </c>
      <c r="M194" s="21">
        <v>0</v>
      </c>
      <c r="N194" s="21">
        <v>0</v>
      </c>
      <c r="O194" s="21">
        <v>0</v>
      </c>
      <c r="P194" s="21">
        <v>0</v>
      </c>
      <c r="Q194" s="21">
        <v>0</v>
      </c>
      <c r="R194" s="21">
        <v>0</v>
      </c>
      <c r="S194" s="21">
        <v>0</v>
      </c>
      <c r="T194" s="21">
        <v>0</v>
      </c>
      <c r="U194" s="21">
        <v>0</v>
      </c>
      <c r="V194" s="21">
        <v>0</v>
      </c>
      <c r="W194" s="21">
        <v>0</v>
      </c>
      <c r="X194" s="21">
        <v>0</v>
      </c>
      <c r="Y194" s="21">
        <v>0</v>
      </c>
      <c r="Z194" s="21">
        <v>0</v>
      </c>
      <c r="AA194" s="21">
        <v>0</v>
      </c>
      <c r="AB194" s="21">
        <v>0</v>
      </c>
      <c r="AC194" s="21">
        <v>0</v>
      </c>
      <c r="AD194" s="21">
        <v>0</v>
      </c>
      <c r="AE194" s="21">
        <v>0</v>
      </c>
      <c r="AF194" s="21">
        <v>0</v>
      </c>
      <c r="AG194" s="21">
        <v>0</v>
      </c>
      <c r="AH194" s="21">
        <v>0</v>
      </c>
      <c r="AI194" s="21">
        <v>0</v>
      </c>
      <c r="AJ194" s="21">
        <v>0</v>
      </c>
      <c r="AK194" s="21">
        <v>0</v>
      </c>
      <c r="AL194" s="21">
        <v>0</v>
      </c>
      <c r="AM194" s="21">
        <v>0</v>
      </c>
      <c r="AN194" s="21">
        <v>0</v>
      </c>
      <c r="AO194" s="21">
        <v>0</v>
      </c>
      <c r="AP194" s="21">
        <v>0</v>
      </c>
      <c r="AQ194" s="21">
        <v>0</v>
      </c>
      <c r="AR194" s="21">
        <v>0</v>
      </c>
      <c r="AS194" s="21">
        <v>0</v>
      </c>
      <c r="AT194" s="21">
        <v>0</v>
      </c>
      <c r="AU194" s="21">
        <v>0</v>
      </c>
      <c r="AV194" s="21">
        <v>0</v>
      </c>
      <c r="AW194" s="21">
        <v>0</v>
      </c>
      <c r="AX194" s="21">
        <v>0</v>
      </c>
      <c r="AY194" s="21">
        <v>0</v>
      </c>
      <c r="AZ194" s="22">
        <v>0</v>
      </c>
      <c r="BA194" s="22" t="e">
        <f>MAX(#REF!-AZ194,0)</f>
        <v>#REF!</v>
      </c>
      <c r="BB194" s="23" t="e">
        <f>IF(SUMPRODUCT($J$85:BA$85,$J194:BA194)&lt;0.5, "Pending", IF(BA194&lt;0.5, "Complete", "In Progress"))</f>
        <v>#REF!</v>
      </c>
      <c r="BC194" s="22">
        <v>0</v>
      </c>
      <c r="BD194" s="22" t="e">
        <f t="shared" si="27"/>
        <v>#REF!</v>
      </c>
      <c r="BE194" s="23" t="e">
        <f>IF(SUMPRODUCT($J$85:BD$85,$J194:BD194)&lt;0.5, "Pending", IF(BD194&lt;0.5, "Complete", "In Progress"))</f>
        <v>#REF!</v>
      </c>
      <c r="BF194" s="22">
        <v>0</v>
      </c>
      <c r="BG194" s="22" t="e">
        <f t="shared" si="28"/>
        <v>#REF!</v>
      </c>
      <c r="BH194" s="23" t="e">
        <f>IF(SUMPRODUCT($J$85:BG$85,$J194:BG194)&lt;0.5, "Pending", IF(BG194&lt;0.5, "Complete", "In Progress"))</f>
        <v>#REF!</v>
      </c>
      <c r="BI194" s="22">
        <v>0</v>
      </c>
      <c r="BJ194" s="22" t="e">
        <f t="shared" si="29"/>
        <v>#REF!</v>
      </c>
      <c r="BK194" s="23" t="e">
        <f>IF(SUMPRODUCT($J$85:BJ$85,$J194:BJ194)&lt;0.5, "Pending", IF(BJ194&lt;0.5, "Complete", "In Progress"))</f>
        <v>#REF!</v>
      </c>
      <c r="BL194" s="22">
        <v>0</v>
      </c>
      <c r="BM194" s="22" t="e">
        <f t="shared" si="30"/>
        <v>#REF!</v>
      </c>
      <c r="BN194" s="23" t="e">
        <f>IF(SUMPRODUCT($J$85:BM$85,$J194:BM194)&lt;0.5, "Pending", IF(BM194&lt;0.5, "Complete", "In Progress"))</f>
        <v>#REF!</v>
      </c>
      <c r="BO194" s="22">
        <v>0</v>
      </c>
      <c r="BP194" s="22" t="e">
        <f t="shared" si="31"/>
        <v>#REF!</v>
      </c>
      <c r="BQ194" s="23" t="e">
        <f>IF(SUMPRODUCT($J$85:BP$85,$J194:BP194)&lt;0.5, "Pending", IF(BP194&lt;0.5, "Complete", "In Progress"))</f>
        <v>#REF!</v>
      </c>
      <c r="BR194" s="22">
        <v>0</v>
      </c>
      <c r="BS194" s="22" t="e">
        <f t="shared" si="32"/>
        <v>#REF!</v>
      </c>
      <c r="BT194" s="23" t="e">
        <f>IF(SUMPRODUCT($J$85:BS$85,$J194:BS194)&lt;0.5, "Pending", IF(BS194&lt;0.5, "Complete", "In Progress"))</f>
        <v>#REF!</v>
      </c>
      <c r="BU194" s="22">
        <v>0</v>
      </c>
      <c r="BV194" s="22" t="e">
        <f t="shared" si="33"/>
        <v>#REF!</v>
      </c>
      <c r="BW194" s="23" t="e">
        <f>IF(SUMPRODUCT($J$85:BV$85,$J194:BV194)&lt;0.5, "Pending", IF(BV194&lt;0.5, "Complete", "In Progress"))</f>
        <v>#REF!</v>
      </c>
      <c r="BX194" s="22">
        <v>0</v>
      </c>
      <c r="BY194" s="22" t="e">
        <f t="shared" si="34"/>
        <v>#REF!</v>
      </c>
      <c r="BZ194" s="23" t="e">
        <f>IF(SUMPRODUCT($J$85:BY$85,$J194:BY194)&lt;0.5, "Pending", IF(BY194&lt;0.5, "Complete", "In Progress"))</f>
        <v>#REF!</v>
      </c>
      <c r="CA194" s="22">
        <v>0</v>
      </c>
      <c r="CB194" s="22" t="e">
        <f t="shared" si="35"/>
        <v>#REF!</v>
      </c>
      <c r="CC194" s="23" t="e">
        <f>IF(SUMPRODUCT($J$85:CB$85,$J194:CB194)&lt;0.5, "Pending", IF(CB194&lt;0.5, "Complete", "In Progress"))</f>
        <v>#REF!</v>
      </c>
      <c r="CD194" s="24"/>
      <c r="CE194" s="25">
        <f>SUMPRODUCT($H$85:AY$85,$H194:AY194)</f>
        <v>43</v>
      </c>
    </row>
    <row r="195" spans="1:83" ht="13.8" customHeight="1" x14ac:dyDescent="0.25">
      <c r="A195" s="16" t="s">
        <v>104</v>
      </c>
      <c r="B195" s="16" t="s">
        <v>121</v>
      </c>
      <c r="C195" s="16" t="s">
        <v>524</v>
      </c>
      <c r="D195" s="17" t="s">
        <v>297</v>
      </c>
      <c r="E195" s="158" t="s">
        <v>489</v>
      </c>
      <c r="F195" s="158" t="s">
        <v>496</v>
      </c>
      <c r="G195" s="19"/>
      <c r="H195" s="20">
        <v>1</v>
      </c>
      <c r="I195" s="21">
        <v>6</v>
      </c>
      <c r="J195" s="21">
        <v>0</v>
      </c>
      <c r="K195" s="21">
        <v>0</v>
      </c>
      <c r="L195" s="21">
        <v>0</v>
      </c>
      <c r="M195" s="21">
        <v>0</v>
      </c>
      <c r="N195" s="21">
        <v>0</v>
      </c>
      <c r="O195" s="21">
        <v>0</v>
      </c>
      <c r="P195" s="21">
        <v>0</v>
      </c>
      <c r="Q195" s="21">
        <v>0</v>
      </c>
      <c r="R195" s="21">
        <v>0</v>
      </c>
      <c r="S195" s="21">
        <v>0</v>
      </c>
      <c r="T195" s="21">
        <v>0</v>
      </c>
      <c r="U195" s="21">
        <v>0</v>
      </c>
      <c r="V195" s="21">
        <v>0</v>
      </c>
      <c r="W195" s="21">
        <v>0</v>
      </c>
      <c r="X195" s="21">
        <v>0</v>
      </c>
      <c r="Y195" s="21">
        <v>0</v>
      </c>
      <c r="Z195" s="21">
        <v>0</v>
      </c>
      <c r="AA195" s="21">
        <v>0</v>
      </c>
      <c r="AB195" s="21">
        <v>0</v>
      </c>
      <c r="AC195" s="21">
        <v>0</v>
      </c>
      <c r="AD195" s="21">
        <v>0</v>
      </c>
      <c r="AE195" s="21">
        <v>0</v>
      </c>
      <c r="AF195" s="21">
        <v>0</v>
      </c>
      <c r="AG195" s="21">
        <v>0</v>
      </c>
      <c r="AH195" s="21">
        <v>0</v>
      </c>
      <c r="AI195" s="21">
        <v>0</v>
      </c>
      <c r="AJ195" s="21">
        <v>0</v>
      </c>
      <c r="AK195" s="21">
        <v>0</v>
      </c>
      <c r="AL195" s="21">
        <v>0</v>
      </c>
      <c r="AM195" s="21">
        <v>0</v>
      </c>
      <c r="AN195" s="21">
        <v>0</v>
      </c>
      <c r="AO195" s="21">
        <v>0</v>
      </c>
      <c r="AP195" s="21">
        <v>0</v>
      </c>
      <c r="AQ195" s="21">
        <v>0</v>
      </c>
      <c r="AR195" s="21">
        <v>0</v>
      </c>
      <c r="AS195" s="21">
        <v>0</v>
      </c>
      <c r="AT195" s="21">
        <v>0</v>
      </c>
      <c r="AU195" s="21">
        <v>0</v>
      </c>
      <c r="AV195" s="21">
        <v>0</v>
      </c>
      <c r="AW195" s="21">
        <v>0</v>
      </c>
      <c r="AX195" s="21">
        <v>0</v>
      </c>
      <c r="AY195" s="21">
        <v>0</v>
      </c>
      <c r="AZ195" s="22">
        <v>0</v>
      </c>
      <c r="BA195" s="22" t="e">
        <f>MAX(#REF!-AZ195,0)</f>
        <v>#REF!</v>
      </c>
      <c r="BB195" s="23" t="e">
        <f>IF(SUMPRODUCT($J$85:BA$85,$J195:BA195)&lt;0.5, "Pending", IF(BA195&lt;0.5, "Complete", "In Progress"))</f>
        <v>#REF!</v>
      </c>
      <c r="BC195" s="22">
        <v>0</v>
      </c>
      <c r="BD195" s="22" t="e">
        <f t="shared" si="27"/>
        <v>#REF!</v>
      </c>
      <c r="BE195" s="23" t="e">
        <f>IF(SUMPRODUCT($J$85:BD$85,$J195:BD195)&lt;0.5, "Pending", IF(BD195&lt;0.5, "Complete", "In Progress"))</f>
        <v>#REF!</v>
      </c>
      <c r="BF195" s="22">
        <v>0</v>
      </c>
      <c r="BG195" s="22" t="e">
        <f t="shared" si="28"/>
        <v>#REF!</v>
      </c>
      <c r="BH195" s="23" t="e">
        <f>IF(SUMPRODUCT($J$85:BG$85,$J195:BG195)&lt;0.5, "Pending", IF(BG195&lt;0.5, "Complete", "In Progress"))</f>
        <v>#REF!</v>
      </c>
      <c r="BI195" s="22">
        <v>0</v>
      </c>
      <c r="BJ195" s="22" t="e">
        <f t="shared" si="29"/>
        <v>#REF!</v>
      </c>
      <c r="BK195" s="23" t="e">
        <f>IF(SUMPRODUCT($J$85:BJ$85,$J195:BJ195)&lt;0.5, "Pending", IF(BJ195&lt;0.5, "Complete", "In Progress"))</f>
        <v>#REF!</v>
      </c>
      <c r="BL195" s="22">
        <v>0</v>
      </c>
      <c r="BM195" s="22" t="e">
        <f t="shared" si="30"/>
        <v>#REF!</v>
      </c>
      <c r="BN195" s="23" t="e">
        <f>IF(SUMPRODUCT($J$85:BM$85,$J195:BM195)&lt;0.5, "Pending", IF(BM195&lt;0.5, "Complete", "In Progress"))</f>
        <v>#REF!</v>
      </c>
      <c r="BO195" s="22">
        <v>0</v>
      </c>
      <c r="BP195" s="22" t="e">
        <f t="shared" si="31"/>
        <v>#REF!</v>
      </c>
      <c r="BQ195" s="23" t="e">
        <f>IF(SUMPRODUCT($J$85:BP$85,$J195:BP195)&lt;0.5, "Pending", IF(BP195&lt;0.5, "Complete", "In Progress"))</f>
        <v>#REF!</v>
      </c>
      <c r="BR195" s="22">
        <v>0</v>
      </c>
      <c r="BS195" s="22" t="e">
        <f t="shared" si="32"/>
        <v>#REF!</v>
      </c>
      <c r="BT195" s="23" t="e">
        <f>IF(SUMPRODUCT($J$85:BS$85,$J195:BS195)&lt;0.5, "Pending", IF(BS195&lt;0.5, "Complete", "In Progress"))</f>
        <v>#REF!</v>
      </c>
      <c r="BU195" s="22">
        <v>0</v>
      </c>
      <c r="BV195" s="22" t="e">
        <f t="shared" si="33"/>
        <v>#REF!</v>
      </c>
      <c r="BW195" s="23" t="e">
        <f>IF(SUMPRODUCT($J$85:BV$85,$J195:BV195)&lt;0.5, "Pending", IF(BV195&lt;0.5, "Complete", "In Progress"))</f>
        <v>#REF!</v>
      </c>
      <c r="BX195" s="22">
        <v>0</v>
      </c>
      <c r="BY195" s="22" t="e">
        <f t="shared" si="34"/>
        <v>#REF!</v>
      </c>
      <c r="BZ195" s="23" t="e">
        <f>IF(SUMPRODUCT($J$85:BY$85,$J195:BY195)&lt;0.5, "Pending", IF(BY195&lt;0.5, "Complete", "In Progress"))</f>
        <v>#REF!</v>
      </c>
      <c r="CA195" s="22">
        <v>0</v>
      </c>
      <c r="CB195" s="22" t="e">
        <f t="shared" si="35"/>
        <v>#REF!</v>
      </c>
      <c r="CC195" s="23" t="e">
        <f>IF(SUMPRODUCT($J$85:CB$85,$J195:CB195)&lt;0.5, "Pending", IF(CB195&lt;0.5, "Complete", "In Progress"))</f>
        <v>#REF!</v>
      </c>
      <c r="CD195" s="24"/>
      <c r="CE195" s="25">
        <f>SUMPRODUCT($H$85:AY$85,$H195:AY195)</f>
        <v>43</v>
      </c>
    </row>
    <row r="196" spans="1:83" ht="13.8" customHeight="1" x14ac:dyDescent="0.25">
      <c r="A196" s="16" t="s">
        <v>104</v>
      </c>
      <c r="B196" s="16" t="s">
        <v>108</v>
      </c>
      <c r="C196" s="16" t="s">
        <v>524</v>
      </c>
      <c r="D196" s="17" t="s">
        <v>298</v>
      </c>
      <c r="E196" s="158" t="s">
        <v>490</v>
      </c>
      <c r="F196" s="158" t="s">
        <v>495</v>
      </c>
      <c r="G196" s="169"/>
      <c r="H196" s="20">
        <v>1</v>
      </c>
      <c r="I196" s="21">
        <v>6</v>
      </c>
      <c r="J196" s="21">
        <v>0</v>
      </c>
      <c r="K196" s="21">
        <v>0</v>
      </c>
      <c r="L196" s="21">
        <v>0</v>
      </c>
      <c r="M196" s="21">
        <v>0</v>
      </c>
      <c r="N196" s="21">
        <v>0</v>
      </c>
      <c r="O196" s="21">
        <v>0</v>
      </c>
      <c r="P196" s="21">
        <v>0</v>
      </c>
      <c r="Q196" s="21">
        <v>0</v>
      </c>
      <c r="R196" s="21">
        <v>0</v>
      </c>
      <c r="S196" s="21">
        <v>0</v>
      </c>
      <c r="T196" s="21">
        <v>0</v>
      </c>
      <c r="U196" s="21">
        <v>0</v>
      </c>
      <c r="V196" s="21">
        <v>0</v>
      </c>
      <c r="W196" s="21">
        <v>0</v>
      </c>
      <c r="X196" s="21">
        <v>0</v>
      </c>
      <c r="Y196" s="21">
        <v>0</v>
      </c>
      <c r="Z196" s="21">
        <v>0</v>
      </c>
      <c r="AA196" s="21">
        <v>0</v>
      </c>
      <c r="AB196" s="21">
        <v>0</v>
      </c>
      <c r="AC196" s="21">
        <v>0</v>
      </c>
      <c r="AD196" s="21">
        <v>0</v>
      </c>
      <c r="AE196" s="21">
        <v>0</v>
      </c>
      <c r="AF196" s="21">
        <v>0</v>
      </c>
      <c r="AG196" s="21">
        <v>0</v>
      </c>
      <c r="AH196" s="21">
        <v>0</v>
      </c>
      <c r="AI196" s="21">
        <v>0</v>
      </c>
      <c r="AJ196" s="21">
        <v>0</v>
      </c>
      <c r="AK196" s="21">
        <v>0</v>
      </c>
      <c r="AL196" s="21">
        <v>0</v>
      </c>
      <c r="AM196" s="21">
        <v>0</v>
      </c>
      <c r="AN196" s="21">
        <v>0</v>
      </c>
      <c r="AO196" s="21">
        <v>0</v>
      </c>
      <c r="AP196" s="21">
        <v>0</v>
      </c>
      <c r="AQ196" s="21">
        <v>0</v>
      </c>
      <c r="AR196" s="21">
        <v>0</v>
      </c>
      <c r="AS196" s="21">
        <v>0</v>
      </c>
      <c r="AT196" s="21">
        <v>0</v>
      </c>
      <c r="AU196" s="21">
        <v>0</v>
      </c>
      <c r="AV196" s="21">
        <v>0</v>
      </c>
      <c r="AW196" s="21">
        <v>0</v>
      </c>
      <c r="AX196" s="21">
        <v>0</v>
      </c>
      <c r="AY196" s="21">
        <v>0</v>
      </c>
      <c r="AZ196" s="22">
        <v>0</v>
      </c>
      <c r="BA196" s="22" t="e">
        <f>MAX(#REF!-AZ196,0)</f>
        <v>#REF!</v>
      </c>
      <c r="BB196" s="23" t="e">
        <f>IF(SUMPRODUCT($J$85:BA$85,$J196:BA196)&lt;0.5, "Pending", IF(BA196&lt;0.5, "Complete", "In Progress"))</f>
        <v>#REF!</v>
      </c>
      <c r="BC196" s="22">
        <v>0</v>
      </c>
      <c r="BD196" s="22" t="e">
        <f t="shared" si="27"/>
        <v>#REF!</v>
      </c>
      <c r="BE196" s="23" t="e">
        <f>IF(SUMPRODUCT($J$85:BD$85,$J196:BD196)&lt;0.5, "Pending", IF(BD196&lt;0.5, "Complete", "In Progress"))</f>
        <v>#REF!</v>
      </c>
      <c r="BF196" s="22">
        <v>0</v>
      </c>
      <c r="BG196" s="22" t="e">
        <f t="shared" si="28"/>
        <v>#REF!</v>
      </c>
      <c r="BH196" s="23" t="e">
        <f>IF(SUMPRODUCT($J$85:BG$85,$J196:BG196)&lt;0.5, "Pending", IF(BG196&lt;0.5, "Complete", "In Progress"))</f>
        <v>#REF!</v>
      </c>
      <c r="BI196" s="22">
        <v>0</v>
      </c>
      <c r="BJ196" s="22" t="e">
        <f t="shared" si="29"/>
        <v>#REF!</v>
      </c>
      <c r="BK196" s="23" t="e">
        <f>IF(SUMPRODUCT($J$85:BJ$85,$J196:BJ196)&lt;0.5, "Pending", IF(BJ196&lt;0.5, "Complete", "In Progress"))</f>
        <v>#REF!</v>
      </c>
      <c r="BL196" s="22">
        <v>0</v>
      </c>
      <c r="BM196" s="22" t="e">
        <f t="shared" si="30"/>
        <v>#REF!</v>
      </c>
      <c r="BN196" s="23" t="e">
        <f>IF(SUMPRODUCT($J$85:BM$85,$J196:BM196)&lt;0.5, "Pending", IF(BM196&lt;0.5, "Complete", "In Progress"))</f>
        <v>#REF!</v>
      </c>
      <c r="BO196" s="22">
        <v>0</v>
      </c>
      <c r="BP196" s="22" t="e">
        <f t="shared" si="31"/>
        <v>#REF!</v>
      </c>
      <c r="BQ196" s="23" t="e">
        <f>IF(SUMPRODUCT($J$85:BP$85,$J196:BP196)&lt;0.5, "Pending", IF(BP196&lt;0.5, "Complete", "In Progress"))</f>
        <v>#REF!</v>
      </c>
      <c r="BR196" s="22">
        <v>0</v>
      </c>
      <c r="BS196" s="22" t="e">
        <f t="shared" si="32"/>
        <v>#REF!</v>
      </c>
      <c r="BT196" s="23" t="e">
        <f>IF(SUMPRODUCT($J$85:BS$85,$J196:BS196)&lt;0.5, "Pending", IF(BS196&lt;0.5, "Complete", "In Progress"))</f>
        <v>#REF!</v>
      </c>
      <c r="BU196" s="22">
        <v>0</v>
      </c>
      <c r="BV196" s="22" t="e">
        <f t="shared" si="33"/>
        <v>#REF!</v>
      </c>
      <c r="BW196" s="23" t="e">
        <f>IF(SUMPRODUCT($J$85:BV$85,$J196:BV196)&lt;0.5, "Pending", IF(BV196&lt;0.5, "Complete", "In Progress"))</f>
        <v>#REF!</v>
      </c>
      <c r="BX196" s="22">
        <v>0</v>
      </c>
      <c r="BY196" s="22" t="e">
        <f t="shared" si="34"/>
        <v>#REF!</v>
      </c>
      <c r="BZ196" s="23" t="e">
        <f>IF(SUMPRODUCT($J$85:BY$85,$J196:BY196)&lt;0.5, "Pending", IF(BY196&lt;0.5, "Complete", "In Progress"))</f>
        <v>#REF!</v>
      </c>
      <c r="CA196" s="22">
        <v>0</v>
      </c>
      <c r="CB196" s="22" t="e">
        <f t="shared" si="35"/>
        <v>#REF!</v>
      </c>
      <c r="CC196" s="23" t="e">
        <f>IF(SUMPRODUCT($J$85:CB$85,$J196:CB196)&lt;0.5, "Pending", IF(CB196&lt;0.5, "Complete", "In Progress"))</f>
        <v>#REF!</v>
      </c>
      <c r="CD196" s="24"/>
      <c r="CE196" s="25">
        <f>SUMPRODUCT($H$85:AY$85,$H196:AY196)</f>
        <v>43</v>
      </c>
    </row>
    <row r="197" spans="1:83" ht="13.8" customHeight="1" x14ac:dyDescent="0.25">
      <c r="A197" s="16" t="s">
        <v>104</v>
      </c>
      <c r="B197" s="16" t="s">
        <v>121</v>
      </c>
      <c r="C197" s="16" t="s">
        <v>524</v>
      </c>
      <c r="D197" s="17" t="s">
        <v>299</v>
      </c>
      <c r="E197" s="158" t="s">
        <v>491</v>
      </c>
      <c r="F197" s="158" t="s">
        <v>493</v>
      </c>
      <c r="G197" s="168"/>
      <c r="H197" s="20">
        <v>1</v>
      </c>
      <c r="I197" s="21">
        <v>56</v>
      </c>
      <c r="J197" s="21">
        <v>0</v>
      </c>
      <c r="K197" s="21">
        <v>0</v>
      </c>
      <c r="L197" s="21">
        <v>0</v>
      </c>
      <c r="M197" s="21">
        <v>0</v>
      </c>
      <c r="N197" s="21">
        <v>0</v>
      </c>
      <c r="O197" s="21">
        <v>0</v>
      </c>
      <c r="P197" s="21">
        <v>0</v>
      </c>
      <c r="Q197" s="21">
        <v>0</v>
      </c>
      <c r="R197" s="21">
        <v>0</v>
      </c>
      <c r="S197" s="21">
        <v>0</v>
      </c>
      <c r="T197" s="21">
        <v>0</v>
      </c>
      <c r="U197" s="21">
        <v>0</v>
      </c>
      <c r="V197" s="21">
        <v>0</v>
      </c>
      <c r="W197" s="21">
        <v>0</v>
      </c>
      <c r="X197" s="21">
        <v>0</v>
      </c>
      <c r="Y197" s="21">
        <v>0</v>
      </c>
      <c r="Z197" s="21">
        <v>0</v>
      </c>
      <c r="AA197" s="21">
        <v>0</v>
      </c>
      <c r="AB197" s="21">
        <v>0</v>
      </c>
      <c r="AC197" s="21">
        <v>0</v>
      </c>
      <c r="AD197" s="21">
        <v>0</v>
      </c>
      <c r="AE197" s="21">
        <v>0</v>
      </c>
      <c r="AF197" s="21">
        <v>0</v>
      </c>
      <c r="AG197" s="21">
        <v>0</v>
      </c>
      <c r="AH197" s="21">
        <v>0</v>
      </c>
      <c r="AI197" s="21">
        <v>0</v>
      </c>
      <c r="AJ197" s="21">
        <v>0</v>
      </c>
      <c r="AK197" s="21">
        <v>0</v>
      </c>
      <c r="AL197" s="21">
        <v>0</v>
      </c>
      <c r="AM197" s="21">
        <v>0</v>
      </c>
      <c r="AN197" s="21">
        <v>0</v>
      </c>
      <c r="AO197" s="21">
        <v>0</v>
      </c>
      <c r="AP197" s="21">
        <v>0</v>
      </c>
      <c r="AQ197" s="21">
        <v>0</v>
      </c>
      <c r="AR197" s="21">
        <v>0</v>
      </c>
      <c r="AS197" s="21">
        <v>0</v>
      </c>
      <c r="AT197" s="21">
        <v>0</v>
      </c>
      <c r="AU197" s="21">
        <v>0</v>
      </c>
      <c r="AV197" s="21">
        <v>0</v>
      </c>
      <c r="AW197" s="21">
        <v>0</v>
      </c>
      <c r="AX197" s="21">
        <v>0</v>
      </c>
      <c r="AY197" s="21">
        <v>0</v>
      </c>
      <c r="AZ197" s="22">
        <v>0</v>
      </c>
      <c r="BA197" s="22" t="e">
        <f>MAX(#REF!-AZ197,0)</f>
        <v>#REF!</v>
      </c>
      <c r="BB197" s="23" t="e">
        <f>IF(SUMPRODUCT($J$85:BA$85,$J197:BA197)&lt;0.5, "Pending", IF(BA197&lt;0.5, "Complete", "In Progress"))</f>
        <v>#REF!</v>
      </c>
      <c r="BC197" s="22">
        <v>0</v>
      </c>
      <c r="BD197" s="22" t="e">
        <f t="shared" si="27"/>
        <v>#REF!</v>
      </c>
      <c r="BE197" s="23" t="e">
        <f>IF(SUMPRODUCT($J$85:BD$85,$J197:BD197)&lt;0.5, "Pending", IF(BD197&lt;0.5, "Complete", "In Progress"))</f>
        <v>#REF!</v>
      </c>
      <c r="BF197" s="22">
        <v>0</v>
      </c>
      <c r="BG197" s="22" t="e">
        <f t="shared" si="28"/>
        <v>#REF!</v>
      </c>
      <c r="BH197" s="23" t="e">
        <f>IF(SUMPRODUCT($J$85:BG$85,$J197:BG197)&lt;0.5, "Pending", IF(BG197&lt;0.5, "Complete", "In Progress"))</f>
        <v>#REF!</v>
      </c>
      <c r="BI197" s="22">
        <v>0</v>
      </c>
      <c r="BJ197" s="22" t="e">
        <f t="shared" si="29"/>
        <v>#REF!</v>
      </c>
      <c r="BK197" s="23" t="e">
        <f>IF(SUMPRODUCT($J$85:BJ$85,$J197:BJ197)&lt;0.5, "Pending", IF(BJ197&lt;0.5, "Complete", "In Progress"))</f>
        <v>#REF!</v>
      </c>
      <c r="BL197" s="22">
        <v>0</v>
      </c>
      <c r="BM197" s="22" t="e">
        <f t="shared" si="30"/>
        <v>#REF!</v>
      </c>
      <c r="BN197" s="23" t="e">
        <f>IF(SUMPRODUCT($J$85:BM$85,$J197:BM197)&lt;0.5, "Pending", IF(BM197&lt;0.5, "Complete", "In Progress"))</f>
        <v>#REF!</v>
      </c>
      <c r="BO197" s="22">
        <v>0</v>
      </c>
      <c r="BP197" s="22" t="e">
        <f t="shared" si="31"/>
        <v>#REF!</v>
      </c>
      <c r="BQ197" s="23" t="e">
        <f>IF(SUMPRODUCT($J$85:BP$85,$J197:BP197)&lt;0.5, "Pending", IF(BP197&lt;0.5, "Complete", "In Progress"))</f>
        <v>#REF!</v>
      </c>
      <c r="BR197" s="22">
        <v>0</v>
      </c>
      <c r="BS197" s="22" t="e">
        <f t="shared" si="32"/>
        <v>#REF!</v>
      </c>
      <c r="BT197" s="23" t="e">
        <f>IF(SUMPRODUCT($J$85:BS$85,$J197:BS197)&lt;0.5, "Pending", IF(BS197&lt;0.5, "Complete", "In Progress"))</f>
        <v>#REF!</v>
      </c>
      <c r="BU197" s="22">
        <v>0</v>
      </c>
      <c r="BV197" s="22" t="e">
        <f t="shared" si="33"/>
        <v>#REF!</v>
      </c>
      <c r="BW197" s="23" t="e">
        <f>IF(SUMPRODUCT($J$85:BV$85,$J197:BV197)&lt;0.5, "Pending", IF(BV197&lt;0.5, "Complete", "In Progress"))</f>
        <v>#REF!</v>
      </c>
      <c r="BX197" s="22">
        <v>0</v>
      </c>
      <c r="BY197" s="22" t="e">
        <f t="shared" si="34"/>
        <v>#REF!</v>
      </c>
      <c r="BZ197" s="23" t="e">
        <f>IF(SUMPRODUCT($J$85:BY$85,$J197:BY197)&lt;0.5, "Pending", IF(BY197&lt;0.5, "Complete", "In Progress"))</f>
        <v>#REF!</v>
      </c>
      <c r="CA197" s="22">
        <v>0</v>
      </c>
      <c r="CB197" s="22" t="e">
        <f t="shared" si="35"/>
        <v>#REF!</v>
      </c>
      <c r="CC197" s="23" t="e">
        <f>IF(SUMPRODUCT($J$85:CB$85,$J197:CB197)&lt;0.5, "Pending", IF(CB197&lt;0.5, "Complete", "In Progress"))</f>
        <v>#REF!</v>
      </c>
      <c r="CD197" s="24"/>
      <c r="CE197" s="25">
        <f>SUMPRODUCT($H$85:AY$85,$H197:AY197)</f>
        <v>393</v>
      </c>
    </row>
    <row r="198" spans="1:83" ht="13.8" customHeight="1" x14ac:dyDescent="0.25">
      <c r="A198" s="16" t="s">
        <v>104</v>
      </c>
      <c r="B198" s="16" t="s">
        <v>123</v>
      </c>
      <c r="C198" s="16" t="s">
        <v>524</v>
      </c>
      <c r="D198" s="17" t="s">
        <v>300</v>
      </c>
      <c r="E198" s="158" t="s">
        <v>492</v>
      </c>
      <c r="F198" s="158" t="s">
        <v>494</v>
      </c>
      <c r="G198" s="19"/>
      <c r="H198" s="20">
        <v>1</v>
      </c>
      <c r="I198" s="21">
        <v>6</v>
      </c>
      <c r="J198" s="21">
        <v>0</v>
      </c>
      <c r="K198" s="21">
        <v>0</v>
      </c>
      <c r="L198" s="21">
        <v>0</v>
      </c>
      <c r="M198" s="21">
        <v>0</v>
      </c>
      <c r="N198" s="21">
        <v>0</v>
      </c>
      <c r="O198" s="21">
        <v>0</v>
      </c>
      <c r="P198" s="21">
        <v>0</v>
      </c>
      <c r="Q198" s="21">
        <v>0</v>
      </c>
      <c r="R198" s="21">
        <v>0</v>
      </c>
      <c r="S198" s="21">
        <v>0</v>
      </c>
      <c r="T198" s="21">
        <v>0</v>
      </c>
      <c r="U198" s="21">
        <v>0</v>
      </c>
      <c r="V198" s="21">
        <v>0</v>
      </c>
      <c r="W198" s="21">
        <v>0</v>
      </c>
      <c r="X198" s="21">
        <v>0</v>
      </c>
      <c r="Y198" s="21">
        <v>0</v>
      </c>
      <c r="Z198" s="21">
        <v>0</v>
      </c>
      <c r="AA198" s="21">
        <v>0</v>
      </c>
      <c r="AB198" s="21">
        <v>0</v>
      </c>
      <c r="AC198" s="21">
        <v>0</v>
      </c>
      <c r="AD198" s="21">
        <v>0</v>
      </c>
      <c r="AE198" s="21">
        <v>0</v>
      </c>
      <c r="AF198" s="21">
        <v>0</v>
      </c>
      <c r="AG198" s="21">
        <v>0</v>
      </c>
      <c r="AH198" s="21">
        <v>0</v>
      </c>
      <c r="AI198" s="21">
        <v>0</v>
      </c>
      <c r="AJ198" s="21">
        <v>0</v>
      </c>
      <c r="AK198" s="21">
        <v>0</v>
      </c>
      <c r="AL198" s="21">
        <v>0</v>
      </c>
      <c r="AM198" s="21">
        <v>0</v>
      </c>
      <c r="AN198" s="21">
        <v>0</v>
      </c>
      <c r="AO198" s="21">
        <v>0</v>
      </c>
      <c r="AP198" s="21">
        <v>0</v>
      </c>
      <c r="AQ198" s="21">
        <v>0</v>
      </c>
      <c r="AR198" s="21">
        <v>0</v>
      </c>
      <c r="AS198" s="21">
        <v>0</v>
      </c>
      <c r="AT198" s="21">
        <v>0</v>
      </c>
      <c r="AU198" s="21">
        <v>0</v>
      </c>
      <c r="AV198" s="21">
        <v>0</v>
      </c>
      <c r="AW198" s="21">
        <v>0</v>
      </c>
      <c r="AX198" s="21">
        <v>0</v>
      </c>
      <c r="AY198" s="21">
        <v>0</v>
      </c>
      <c r="AZ198" s="22">
        <v>0</v>
      </c>
      <c r="BA198" s="22" t="e">
        <f>MAX(#REF!-AZ198,0)</f>
        <v>#REF!</v>
      </c>
      <c r="BB198" s="23" t="e">
        <f>IF(SUMPRODUCT($J$85:BA$85,$J198:BA198)&lt;0.5, "Pending", IF(BA198&lt;0.5, "Complete", "In Progress"))</f>
        <v>#REF!</v>
      </c>
      <c r="BC198" s="22">
        <v>0</v>
      </c>
      <c r="BD198" s="22" t="e">
        <f t="shared" si="27"/>
        <v>#REF!</v>
      </c>
      <c r="BE198" s="23" t="e">
        <f>IF(SUMPRODUCT($J$85:BD$85,$J198:BD198)&lt;0.5, "Pending", IF(BD198&lt;0.5, "Complete", "In Progress"))</f>
        <v>#REF!</v>
      </c>
      <c r="BF198" s="22">
        <v>0</v>
      </c>
      <c r="BG198" s="22" t="e">
        <f t="shared" si="28"/>
        <v>#REF!</v>
      </c>
      <c r="BH198" s="23" t="e">
        <f>IF(SUMPRODUCT($J$85:BG$85,$J198:BG198)&lt;0.5, "Pending", IF(BG198&lt;0.5, "Complete", "In Progress"))</f>
        <v>#REF!</v>
      </c>
      <c r="BI198" s="22">
        <v>0</v>
      </c>
      <c r="BJ198" s="22" t="e">
        <f t="shared" si="29"/>
        <v>#REF!</v>
      </c>
      <c r="BK198" s="23" t="e">
        <f>IF(SUMPRODUCT($J$85:BJ$85,$J198:BJ198)&lt;0.5, "Pending", IF(BJ198&lt;0.5, "Complete", "In Progress"))</f>
        <v>#REF!</v>
      </c>
      <c r="BL198" s="22">
        <v>0</v>
      </c>
      <c r="BM198" s="22" t="e">
        <f t="shared" si="30"/>
        <v>#REF!</v>
      </c>
      <c r="BN198" s="23" t="e">
        <f>IF(SUMPRODUCT($J$85:BM$85,$J198:BM198)&lt;0.5, "Pending", IF(BM198&lt;0.5, "Complete", "In Progress"))</f>
        <v>#REF!</v>
      </c>
      <c r="BO198" s="22">
        <v>0</v>
      </c>
      <c r="BP198" s="22" t="e">
        <f t="shared" si="31"/>
        <v>#REF!</v>
      </c>
      <c r="BQ198" s="23" t="e">
        <f>IF(SUMPRODUCT($J$85:BP$85,$J198:BP198)&lt;0.5, "Pending", IF(BP198&lt;0.5, "Complete", "In Progress"))</f>
        <v>#REF!</v>
      </c>
      <c r="BR198" s="22">
        <v>0</v>
      </c>
      <c r="BS198" s="22" t="e">
        <f t="shared" si="32"/>
        <v>#REF!</v>
      </c>
      <c r="BT198" s="23" t="e">
        <f>IF(SUMPRODUCT($J$85:BS$85,$J198:BS198)&lt;0.5, "Pending", IF(BS198&lt;0.5, "Complete", "In Progress"))</f>
        <v>#REF!</v>
      </c>
      <c r="BU198" s="22">
        <v>0</v>
      </c>
      <c r="BV198" s="22" t="e">
        <f t="shared" si="33"/>
        <v>#REF!</v>
      </c>
      <c r="BW198" s="23" t="e">
        <f>IF(SUMPRODUCT($J$85:BV$85,$J198:BV198)&lt;0.5, "Pending", IF(BV198&lt;0.5, "Complete", "In Progress"))</f>
        <v>#REF!</v>
      </c>
      <c r="BX198" s="22">
        <v>0</v>
      </c>
      <c r="BY198" s="22" t="e">
        <f t="shared" si="34"/>
        <v>#REF!</v>
      </c>
      <c r="BZ198" s="23" t="e">
        <f>IF(SUMPRODUCT($J$85:BY$85,$J198:BY198)&lt;0.5, "Pending", IF(BY198&lt;0.5, "Complete", "In Progress"))</f>
        <v>#REF!</v>
      </c>
      <c r="CA198" s="22">
        <v>0</v>
      </c>
      <c r="CB198" s="22" t="e">
        <f t="shared" si="35"/>
        <v>#REF!</v>
      </c>
      <c r="CC198" s="23" t="e">
        <f>IF(SUMPRODUCT($J$85:CB$85,$J198:CB198)&lt;0.5, "Pending", IF(CB198&lt;0.5, "Complete", "In Progress"))</f>
        <v>#REF!</v>
      </c>
      <c r="CD198" s="24"/>
      <c r="CE198" s="25">
        <f>SUMPRODUCT($H$85:AY$85,$H198:AY198)</f>
        <v>43</v>
      </c>
    </row>
    <row r="199" spans="1:83" hidden="1" x14ac:dyDescent="0.25">
      <c r="A199" s="26"/>
      <c r="B199" s="26"/>
      <c r="C199" s="26"/>
      <c r="D199" s="26"/>
      <c r="E199" s="26"/>
      <c r="F199" s="26"/>
      <c r="G199" s="26"/>
      <c r="H199" s="26"/>
      <c r="I199" s="26"/>
      <c r="J199" s="24"/>
      <c r="K199" s="24"/>
      <c r="L199" s="24"/>
      <c r="M199" s="27"/>
      <c r="N199" s="27"/>
      <c r="O199" s="24"/>
      <c r="P199" s="27"/>
      <c r="Q199" s="27"/>
      <c r="R199" s="24"/>
      <c r="S199" s="27"/>
      <c r="T199" s="27"/>
      <c r="U199" s="27"/>
      <c r="V199" s="27"/>
      <c r="W199" s="27"/>
      <c r="X199" s="24"/>
      <c r="Y199" s="27"/>
      <c r="Z199" s="27"/>
      <c r="AA199" s="24"/>
      <c r="AB199" s="27"/>
      <c r="AC199" s="27"/>
      <c r="AD199" s="24"/>
      <c r="AE199" s="27"/>
      <c r="AF199" s="27"/>
      <c r="AG199" s="24"/>
      <c r="AH199" s="27"/>
      <c r="AI199" s="27"/>
      <c r="AJ199" s="24"/>
      <c r="AK199" s="27"/>
      <c r="AL199" s="27"/>
      <c r="AM199" s="24"/>
      <c r="AN199" s="27"/>
      <c r="AO199" s="27"/>
      <c r="AP199" s="24"/>
      <c r="AQ199" s="27"/>
      <c r="AR199" s="27"/>
      <c r="AS199" s="24"/>
      <c r="AT199" s="27"/>
      <c r="AU199" s="27"/>
      <c r="AV199" s="24"/>
      <c r="AW199" s="27"/>
      <c r="AX199" s="27"/>
      <c r="AY199" s="24"/>
      <c r="AZ199" s="27"/>
      <c r="BA199" s="27"/>
      <c r="BB199" s="24"/>
      <c r="BC199" s="27"/>
      <c r="BD199" s="27"/>
      <c r="BE199" s="24"/>
      <c r="BF199" s="27"/>
      <c r="BG199" s="27"/>
      <c r="BH199" s="24"/>
      <c r="BI199" s="27"/>
      <c r="BJ199" s="27"/>
      <c r="BK199" s="24"/>
      <c r="BL199" s="27"/>
      <c r="BM199" s="27"/>
      <c r="BN199" s="24"/>
      <c r="BO199" s="27"/>
      <c r="BP199" s="27"/>
      <c r="BQ199" s="24"/>
      <c r="BR199" s="27"/>
      <c r="BS199" s="27"/>
      <c r="BT199" s="24"/>
      <c r="BU199" s="27"/>
      <c r="BV199" s="27"/>
      <c r="BW199" s="24"/>
      <c r="BX199" s="27"/>
      <c r="BY199" s="27"/>
      <c r="BZ199" s="24"/>
      <c r="CA199" s="27"/>
      <c r="CB199" s="27"/>
      <c r="CC199" s="24"/>
      <c r="CD199" s="24"/>
      <c r="CE199" s="28">
        <f>SUMPRODUCT($H$202:BK$202,$H199:BK199)</f>
        <v>0</v>
      </c>
    </row>
    <row r="200" spans="1:83" x14ac:dyDescent="0.25">
      <c r="A200" s="1"/>
      <c r="B200" s="1"/>
      <c r="C200" s="1"/>
      <c r="D200" s="1"/>
      <c r="E200" s="1"/>
      <c r="F200" s="1"/>
      <c r="G200" s="1"/>
      <c r="H200" s="1"/>
      <c r="I200" s="1"/>
      <c r="J200" s="171" t="s">
        <v>9</v>
      </c>
      <c r="K200" s="172"/>
      <c r="L200" s="29">
        <v>1</v>
      </c>
      <c r="M200" s="173" t="s">
        <v>9</v>
      </c>
      <c r="N200" s="174"/>
      <c r="O200" s="29">
        <f>L200+1</f>
        <v>2</v>
      </c>
      <c r="P200" s="173" t="s">
        <v>9</v>
      </c>
      <c r="Q200" s="174"/>
      <c r="R200" s="29">
        <f>O200+1</f>
        <v>3</v>
      </c>
      <c r="S200" s="173" t="s">
        <v>9</v>
      </c>
      <c r="T200" s="174"/>
      <c r="U200" s="29">
        <f>R200+1</f>
        <v>4</v>
      </c>
      <c r="V200" s="173" t="s">
        <v>9</v>
      </c>
      <c r="W200" s="174"/>
      <c r="X200" s="29">
        <f>U200+1</f>
        <v>5</v>
      </c>
      <c r="Y200" s="173" t="s">
        <v>9</v>
      </c>
      <c r="Z200" s="173"/>
      <c r="AA200" s="29">
        <f>X200+1</f>
        <v>6</v>
      </c>
      <c r="AB200" s="173" t="s">
        <v>9</v>
      </c>
      <c r="AC200" s="173"/>
      <c r="AD200" s="29">
        <f>AA200+1</f>
        <v>7</v>
      </c>
      <c r="AE200" s="173" t="s">
        <v>9</v>
      </c>
      <c r="AF200" s="173"/>
      <c r="AG200" s="29">
        <f>AD200+1</f>
        <v>8</v>
      </c>
      <c r="AH200" s="173" t="s">
        <v>9</v>
      </c>
      <c r="AI200" s="173"/>
      <c r="AJ200" s="29">
        <f>AG200+1</f>
        <v>9</v>
      </c>
      <c r="AK200" s="173" t="s">
        <v>9</v>
      </c>
      <c r="AL200" s="173"/>
      <c r="AM200" s="29">
        <f>AJ200+1</f>
        <v>10</v>
      </c>
      <c r="AN200" s="173" t="s">
        <v>9</v>
      </c>
      <c r="AO200" s="173"/>
      <c r="AP200" s="29">
        <f>AM200+1</f>
        <v>11</v>
      </c>
      <c r="AQ200" s="173" t="s">
        <v>9</v>
      </c>
      <c r="AR200" s="173"/>
      <c r="AS200" s="29">
        <f>AP200+1</f>
        <v>12</v>
      </c>
      <c r="AT200" s="173" t="s">
        <v>9</v>
      </c>
      <c r="AU200" s="173"/>
      <c r="AV200" s="29">
        <f>AS200+1</f>
        <v>13</v>
      </c>
      <c r="AW200" s="173" t="s">
        <v>9</v>
      </c>
      <c r="AX200" s="173"/>
      <c r="AY200" s="29">
        <f>AV200+1</f>
        <v>14</v>
      </c>
      <c r="AZ200" s="173" t="s">
        <v>9</v>
      </c>
      <c r="BA200" s="174"/>
      <c r="BB200" s="29" t="e">
        <f>#REF!+1</f>
        <v>#REF!</v>
      </c>
      <c r="BC200" s="173" t="s">
        <v>9</v>
      </c>
      <c r="BD200" s="174"/>
      <c r="BE200" s="29" t="e">
        <f>BB200+1</f>
        <v>#REF!</v>
      </c>
      <c r="BF200" s="173" t="s">
        <v>9</v>
      </c>
      <c r="BG200" s="174"/>
      <c r="BH200" s="29" t="e">
        <f>BE200+1</f>
        <v>#REF!</v>
      </c>
      <c r="BI200" s="173" t="s">
        <v>9</v>
      </c>
      <c r="BJ200" s="174"/>
      <c r="BK200" s="29" t="e">
        <f>BH200+1</f>
        <v>#REF!</v>
      </c>
      <c r="BL200" s="173" t="s">
        <v>9</v>
      </c>
      <c r="BM200" s="174"/>
      <c r="BN200" s="29" t="e">
        <f>BK200+1</f>
        <v>#REF!</v>
      </c>
      <c r="BO200" s="173" t="s">
        <v>9</v>
      </c>
      <c r="BP200" s="174"/>
      <c r="BQ200" s="29" t="e">
        <f>BN200+1</f>
        <v>#REF!</v>
      </c>
      <c r="BR200" s="173" t="s">
        <v>9</v>
      </c>
      <c r="BS200" s="174"/>
      <c r="BT200" s="29" t="e">
        <f>BQ200+1</f>
        <v>#REF!</v>
      </c>
      <c r="BU200" s="173" t="s">
        <v>9</v>
      </c>
      <c r="BV200" s="174"/>
      <c r="BW200" s="29" t="e">
        <f>BT200+1</f>
        <v>#REF!</v>
      </c>
      <c r="BX200" s="173" t="s">
        <v>9</v>
      </c>
      <c r="BY200" s="174"/>
      <c r="BZ200" s="29" t="e">
        <f>BW200+1</f>
        <v>#REF!</v>
      </c>
      <c r="CA200" s="173" t="s">
        <v>9</v>
      </c>
      <c r="CB200" s="174"/>
      <c r="CC200" s="29" t="e">
        <f>BZ200+1</f>
        <v>#REF!</v>
      </c>
      <c r="CD200" s="29"/>
      <c r="CE200" s="30"/>
    </row>
    <row r="201" spans="1:83" hidden="1" x14ac:dyDescent="0.25">
      <c r="A201" s="31"/>
      <c r="B201" s="31"/>
      <c r="C201" s="31"/>
      <c r="D201" s="31"/>
      <c r="E201" s="31" t="s">
        <v>11</v>
      </c>
      <c r="F201" s="31"/>
      <c r="G201" s="31"/>
      <c r="H201" s="31"/>
      <c r="I201" s="31"/>
      <c r="J201" s="163">
        <v>1</v>
      </c>
      <c r="K201" s="163">
        <v>0</v>
      </c>
      <c r="L201" s="31">
        <v>0</v>
      </c>
      <c r="M201" s="31">
        <v>1</v>
      </c>
      <c r="N201" s="31">
        <v>0</v>
      </c>
      <c r="O201" s="31">
        <v>0</v>
      </c>
      <c r="P201" s="31">
        <v>1</v>
      </c>
      <c r="Q201" s="31">
        <v>0</v>
      </c>
      <c r="R201" s="31">
        <v>0</v>
      </c>
      <c r="S201" s="31">
        <v>1</v>
      </c>
      <c r="T201" s="31">
        <v>0</v>
      </c>
      <c r="U201" s="31">
        <v>0</v>
      </c>
      <c r="V201" s="31">
        <v>1</v>
      </c>
      <c r="W201" s="31">
        <v>0</v>
      </c>
      <c r="X201" s="31">
        <v>0</v>
      </c>
      <c r="Y201" s="31">
        <v>1</v>
      </c>
      <c r="Z201" s="31">
        <v>0</v>
      </c>
      <c r="AA201" s="31">
        <v>0</v>
      </c>
      <c r="AB201" s="31">
        <v>1</v>
      </c>
      <c r="AC201" s="31">
        <v>0</v>
      </c>
      <c r="AD201" s="31">
        <v>0</v>
      </c>
      <c r="AE201" s="31">
        <v>1</v>
      </c>
      <c r="AF201" s="31">
        <v>0</v>
      </c>
      <c r="AG201" s="31">
        <v>0</v>
      </c>
      <c r="AH201" s="31">
        <v>1</v>
      </c>
      <c r="AI201" s="31">
        <v>0</v>
      </c>
      <c r="AJ201" s="31">
        <v>0</v>
      </c>
      <c r="AK201" s="31">
        <v>1</v>
      </c>
      <c r="AL201" s="31">
        <v>0</v>
      </c>
      <c r="AM201" s="31">
        <v>0</v>
      </c>
      <c r="AN201" s="31">
        <v>1</v>
      </c>
      <c r="AO201" s="31">
        <v>0</v>
      </c>
      <c r="AP201" s="31">
        <v>0</v>
      </c>
      <c r="AQ201" s="31">
        <v>1</v>
      </c>
      <c r="AR201" s="31">
        <v>0</v>
      </c>
      <c r="AS201" s="31">
        <v>0</v>
      </c>
      <c r="AT201" s="31">
        <v>1</v>
      </c>
      <c r="AU201" s="31">
        <v>0</v>
      </c>
      <c r="AV201" s="31">
        <v>0</v>
      </c>
      <c r="AW201" s="31">
        <v>1</v>
      </c>
      <c r="AX201" s="31">
        <v>0</v>
      </c>
      <c r="AY201" s="31">
        <v>0</v>
      </c>
      <c r="AZ201" s="31">
        <v>1</v>
      </c>
      <c r="BA201" s="31">
        <v>0</v>
      </c>
      <c r="BB201" s="31">
        <v>0</v>
      </c>
      <c r="BC201" s="31">
        <v>1</v>
      </c>
      <c r="BD201" s="31">
        <v>0</v>
      </c>
      <c r="BE201" s="31">
        <v>0</v>
      </c>
      <c r="BF201" s="31">
        <v>1</v>
      </c>
      <c r="BG201" s="31">
        <v>0</v>
      </c>
      <c r="BH201" s="31">
        <v>0</v>
      </c>
      <c r="BI201" s="31">
        <v>1</v>
      </c>
      <c r="BJ201" s="31">
        <v>0</v>
      </c>
      <c r="BK201" s="31">
        <v>0</v>
      </c>
      <c r="BL201" s="31">
        <v>1</v>
      </c>
      <c r="BM201" s="31">
        <v>0</v>
      </c>
      <c r="BN201" s="31">
        <v>0</v>
      </c>
      <c r="BO201" s="31">
        <v>1</v>
      </c>
      <c r="BP201" s="31">
        <v>0</v>
      </c>
      <c r="BQ201" s="31">
        <v>0</v>
      </c>
      <c r="BR201" s="31">
        <v>1</v>
      </c>
      <c r="BS201" s="31">
        <v>0</v>
      </c>
      <c r="BT201" s="31">
        <v>0</v>
      </c>
      <c r="BU201" s="31">
        <v>1</v>
      </c>
      <c r="BV201" s="31">
        <v>0</v>
      </c>
      <c r="BW201" s="31">
        <v>0</v>
      </c>
      <c r="BX201" s="31">
        <v>1</v>
      </c>
      <c r="BY201" s="31">
        <v>0</v>
      </c>
      <c r="BZ201" s="31">
        <v>0</v>
      </c>
      <c r="CA201" s="31">
        <v>1</v>
      </c>
      <c r="CB201" s="31">
        <v>0</v>
      </c>
      <c r="CC201" s="31">
        <v>0</v>
      </c>
      <c r="CD201" s="31"/>
      <c r="CE201" s="32"/>
    </row>
    <row r="202" spans="1:83" hidden="1" x14ac:dyDescent="0.25">
      <c r="A202" s="164"/>
      <c r="B202" s="164"/>
      <c r="C202" s="164"/>
      <c r="D202" s="164"/>
      <c r="E202" s="31" t="s">
        <v>13</v>
      </c>
      <c r="F202" s="31"/>
      <c r="G202" s="31"/>
      <c r="H202" s="31"/>
      <c r="I202" s="31"/>
      <c r="J202" s="24">
        <v>0</v>
      </c>
      <c r="K202" s="163">
        <v>1</v>
      </c>
      <c r="L202" s="31">
        <v>0</v>
      </c>
      <c r="M202" s="33">
        <v>0</v>
      </c>
      <c r="N202" s="31">
        <v>1</v>
      </c>
      <c r="O202" s="31">
        <v>0</v>
      </c>
      <c r="P202" s="33">
        <v>0</v>
      </c>
      <c r="Q202" s="31">
        <v>1</v>
      </c>
      <c r="R202" s="31">
        <v>0</v>
      </c>
      <c r="S202" s="33">
        <v>0</v>
      </c>
      <c r="T202" s="31">
        <v>1</v>
      </c>
      <c r="U202" s="31">
        <v>0</v>
      </c>
      <c r="V202" s="33">
        <v>0</v>
      </c>
      <c r="W202" s="31">
        <v>1</v>
      </c>
      <c r="X202" s="31">
        <v>0</v>
      </c>
      <c r="Y202" s="33">
        <v>0</v>
      </c>
      <c r="Z202" s="31">
        <v>1</v>
      </c>
      <c r="AA202" s="31">
        <v>0</v>
      </c>
      <c r="AB202" s="33">
        <v>0</v>
      </c>
      <c r="AC202" s="31">
        <v>1</v>
      </c>
      <c r="AD202" s="31">
        <v>0</v>
      </c>
      <c r="AE202" s="33">
        <v>0</v>
      </c>
      <c r="AF202" s="31">
        <v>1</v>
      </c>
      <c r="AG202" s="31">
        <v>0</v>
      </c>
      <c r="AH202" s="33">
        <v>0</v>
      </c>
      <c r="AI202" s="31">
        <v>1</v>
      </c>
      <c r="AJ202" s="31">
        <v>0</v>
      </c>
      <c r="AK202" s="33">
        <v>0</v>
      </c>
      <c r="AL202" s="31">
        <v>1</v>
      </c>
      <c r="AM202" s="31">
        <v>0</v>
      </c>
      <c r="AN202" s="33">
        <v>0</v>
      </c>
      <c r="AO202" s="31">
        <v>1</v>
      </c>
      <c r="AP202" s="31">
        <v>0</v>
      </c>
      <c r="AQ202" s="33">
        <v>0</v>
      </c>
      <c r="AR202" s="31">
        <v>1</v>
      </c>
      <c r="AS202" s="31">
        <v>0</v>
      </c>
      <c r="AT202" s="33">
        <v>0</v>
      </c>
      <c r="AU202" s="31">
        <v>1</v>
      </c>
      <c r="AV202" s="31">
        <v>0</v>
      </c>
      <c r="AW202" s="33">
        <v>0</v>
      </c>
      <c r="AX202" s="31">
        <v>1</v>
      </c>
      <c r="AY202" s="31">
        <v>0</v>
      </c>
      <c r="AZ202" s="33">
        <v>0</v>
      </c>
      <c r="BA202" s="31">
        <v>1</v>
      </c>
      <c r="BB202" s="31">
        <v>0</v>
      </c>
      <c r="BC202" s="33">
        <v>0</v>
      </c>
      <c r="BD202" s="31">
        <v>1</v>
      </c>
      <c r="BE202" s="31">
        <v>0</v>
      </c>
      <c r="BF202" s="33">
        <v>0</v>
      </c>
      <c r="BG202" s="31">
        <v>1</v>
      </c>
      <c r="BH202" s="31">
        <v>0</v>
      </c>
      <c r="BI202" s="33">
        <v>0</v>
      </c>
      <c r="BJ202" s="31">
        <v>1</v>
      </c>
      <c r="BK202" s="31">
        <v>0</v>
      </c>
      <c r="BL202" s="33">
        <v>0</v>
      </c>
      <c r="BM202" s="31">
        <v>1</v>
      </c>
      <c r="BN202" s="31">
        <v>0</v>
      </c>
      <c r="BO202" s="33">
        <v>0</v>
      </c>
      <c r="BP202" s="31">
        <v>1</v>
      </c>
      <c r="BQ202" s="31">
        <v>0</v>
      </c>
      <c r="BR202" s="33">
        <v>0</v>
      </c>
      <c r="BS202" s="31">
        <v>1</v>
      </c>
      <c r="BT202" s="31">
        <v>0</v>
      </c>
      <c r="BU202" s="33">
        <v>0</v>
      </c>
      <c r="BV202" s="31">
        <v>1</v>
      </c>
      <c r="BW202" s="31">
        <v>0</v>
      </c>
      <c r="BX202" s="33">
        <v>0</v>
      </c>
      <c r="BY202" s="31">
        <v>1</v>
      </c>
      <c r="BZ202" s="31">
        <v>0</v>
      </c>
      <c r="CA202" s="33">
        <v>0</v>
      </c>
      <c r="CB202" s="31">
        <v>1</v>
      </c>
      <c r="CC202" s="31">
        <v>0</v>
      </c>
      <c r="CD202" s="31"/>
    </row>
    <row r="203" spans="1:83" hidden="1" x14ac:dyDescent="0.25">
      <c r="A203" s="31"/>
      <c r="B203" s="31"/>
      <c r="C203" s="31"/>
      <c r="D203" s="31"/>
      <c r="E203" s="34" t="s">
        <v>14</v>
      </c>
      <c r="F203" s="31"/>
      <c r="G203" s="31"/>
      <c r="H203" s="31"/>
      <c r="I203" s="31"/>
      <c r="J203" s="24">
        <v>0</v>
      </c>
      <c r="K203" s="163">
        <v>0</v>
      </c>
      <c r="L203" s="31">
        <v>1</v>
      </c>
      <c r="M203" s="33">
        <v>0</v>
      </c>
      <c r="N203" s="31">
        <v>0</v>
      </c>
      <c r="O203" s="31">
        <v>1</v>
      </c>
      <c r="P203" s="33">
        <v>0</v>
      </c>
      <c r="Q203" s="31">
        <v>0</v>
      </c>
      <c r="R203" s="31">
        <v>1</v>
      </c>
      <c r="S203" s="33">
        <v>0</v>
      </c>
      <c r="T203" s="31">
        <v>0</v>
      </c>
      <c r="U203" s="31">
        <v>1</v>
      </c>
      <c r="V203" s="33">
        <v>0</v>
      </c>
      <c r="W203" s="31">
        <v>0</v>
      </c>
      <c r="X203" s="31">
        <v>1</v>
      </c>
      <c r="Y203" s="33">
        <v>0</v>
      </c>
      <c r="Z203" s="31">
        <v>0</v>
      </c>
      <c r="AA203" s="31">
        <v>1</v>
      </c>
      <c r="AB203" s="33">
        <v>0</v>
      </c>
      <c r="AC203" s="31">
        <v>0</v>
      </c>
      <c r="AD203" s="31">
        <v>1</v>
      </c>
      <c r="AE203" s="33">
        <v>0</v>
      </c>
      <c r="AF203" s="31">
        <v>0</v>
      </c>
      <c r="AG203" s="31">
        <v>1</v>
      </c>
      <c r="AH203" s="33">
        <v>0</v>
      </c>
      <c r="AI203" s="31">
        <v>0</v>
      </c>
      <c r="AJ203" s="31">
        <v>1</v>
      </c>
      <c r="AK203" s="33">
        <v>0</v>
      </c>
      <c r="AL203" s="31">
        <v>0</v>
      </c>
      <c r="AM203" s="31">
        <v>1</v>
      </c>
      <c r="AN203" s="33">
        <v>0</v>
      </c>
      <c r="AO203" s="31">
        <v>0</v>
      </c>
      <c r="AP203" s="31">
        <v>1</v>
      </c>
      <c r="AQ203" s="33">
        <v>0</v>
      </c>
      <c r="AR203" s="31">
        <v>0</v>
      </c>
      <c r="AS203" s="31">
        <v>1</v>
      </c>
      <c r="AT203" s="33">
        <v>0</v>
      </c>
      <c r="AU203" s="31">
        <v>0</v>
      </c>
      <c r="AV203" s="31">
        <v>1</v>
      </c>
      <c r="AW203" s="33">
        <v>0</v>
      </c>
      <c r="AX203" s="31">
        <v>0</v>
      </c>
      <c r="AY203" s="31">
        <v>1</v>
      </c>
      <c r="AZ203" s="33">
        <v>0</v>
      </c>
      <c r="BA203" s="31">
        <v>0</v>
      </c>
      <c r="BB203" s="31">
        <v>1</v>
      </c>
      <c r="BC203" s="33">
        <v>0</v>
      </c>
      <c r="BD203" s="31">
        <v>0</v>
      </c>
      <c r="BE203" s="31">
        <v>1</v>
      </c>
      <c r="BF203" s="33">
        <v>0</v>
      </c>
      <c r="BG203" s="31">
        <v>0</v>
      </c>
      <c r="BH203" s="31">
        <v>1</v>
      </c>
      <c r="BI203" s="33">
        <v>0</v>
      </c>
      <c r="BJ203" s="31">
        <v>0</v>
      </c>
      <c r="BK203" s="31">
        <v>1</v>
      </c>
      <c r="BL203" s="33">
        <v>0</v>
      </c>
      <c r="BM203" s="31">
        <v>0</v>
      </c>
      <c r="BN203" s="31">
        <v>1</v>
      </c>
      <c r="BO203" s="33">
        <v>0</v>
      </c>
      <c r="BP203" s="31">
        <v>0</v>
      </c>
      <c r="BQ203" s="31">
        <v>1</v>
      </c>
      <c r="BR203" s="33">
        <v>0</v>
      </c>
      <c r="BS203" s="31">
        <v>0</v>
      </c>
      <c r="BT203" s="31">
        <v>1</v>
      </c>
      <c r="BU203" s="33">
        <v>0</v>
      </c>
      <c r="BV203" s="31">
        <v>0</v>
      </c>
      <c r="BW203" s="31">
        <v>1</v>
      </c>
      <c r="BX203" s="33">
        <v>0</v>
      </c>
      <c r="BY203" s="31">
        <v>0</v>
      </c>
      <c r="BZ203" s="31">
        <v>1</v>
      </c>
      <c r="CA203" s="33">
        <v>0</v>
      </c>
      <c r="CB203" s="31">
        <v>0</v>
      </c>
      <c r="CC203" s="31">
        <v>1</v>
      </c>
      <c r="CD203" s="31"/>
    </row>
    <row r="204" spans="1:83" x14ac:dyDescent="0.25">
      <c r="A204" s="165">
        <v>300</v>
      </c>
      <c r="B204" s="165">
        <v>300</v>
      </c>
      <c r="C204" s="165">
        <v>300</v>
      </c>
      <c r="D204" s="165" t="s">
        <v>137</v>
      </c>
      <c r="E204" s="35" t="s">
        <v>85</v>
      </c>
      <c r="F204" s="35"/>
      <c r="G204" s="35"/>
      <c r="H204" s="35"/>
      <c r="I204" s="8">
        <f>SUBTOTAL(109,I$5:I$199)</f>
        <v>2864</v>
      </c>
      <c r="J204" s="166">
        <f>SUBTOTAL(109,J$5:J$199)</f>
        <v>0</v>
      </c>
      <c r="K204" s="166">
        <f>SUBTOTAL(109,K$5:K$198)</f>
        <v>0</v>
      </c>
      <c r="L204" s="8"/>
      <c r="M204" s="8">
        <f>SUBTOTAL(109,M$5:M$199)</f>
        <v>0</v>
      </c>
      <c r="N204" s="8">
        <f>SUBTOTAL(109,N$5:N$198)</f>
        <v>0</v>
      </c>
      <c r="O204" s="8"/>
      <c r="P204" s="8">
        <f>SUBTOTAL(109,P$5:P$199)</f>
        <v>0</v>
      </c>
      <c r="Q204" s="8">
        <f>SUBTOTAL(109,Q$5:Q$198)</f>
        <v>0</v>
      </c>
      <c r="R204" s="8"/>
      <c r="S204" s="8">
        <f>SUBTOTAL(109,S$5:S$199)</f>
        <v>0</v>
      </c>
      <c r="T204" s="8">
        <f>SUBTOTAL(109,T$5:T$198)</f>
        <v>0</v>
      </c>
      <c r="U204" s="8"/>
      <c r="V204" s="8">
        <f>SUBTOTAL(109,V$5:V$199)</f>
        <v>0</v>
      </c>
      <c r="W204" s="8">
        <f>SUBTOTAL(109,W$5:W$198)</f>
        <v>0</v>
      </c>
      <c r="X204" s="8"/>
      <c r="Y204" s="8">
        <f>SUBTOTAL(109,Y$5:Y$199)</f>
        <v>0</v>
      </c>
      <c r="Z204" s="8">
        <f>SUBTOTAL(109,Z$5:Z$198)</f>
        <v>0</v>
      </c>
      <c r="AA204" s="8"/>
      <c r="AB204" s="8">
        <f>SUBTOTAL(109,AB$5:AB$199)</f>
        <v>0</v>
      </c>
      <c r="AC204" s="8">
        <f>SUBTOTAL(109,AC$5:AC$198)</f>
        <v>0</v>
      </c>
      <c r="AD204" s="8"/>
      <c r="AE204" s="8">
        <f>SUBTOTAL(109,AE$5:AE$199)</f>
        <v>0</v>
      </c>
      <c r="AF204" s="8">
        <f>SUBTOTAL(109,AF$5:AF$198)</f>
        <v>0</v>
      </c>
      <c r="AG204" s="8"/>
      <c r="AH204" s="8">
        <f>SUBTOTAL(109,AH$5:AH$199)</f>
        <v>0</v>
      </c>
      <c r="AI204" s="8">
        <f>SUBTOTAL(109,AI$5:AI$198)</f>
        <v>0</v>
      </c>
      <c r="AJ204" s="8"/>
      <c r="AK204" s="8">
        <f>SUBTOTAL(109,AK$5:AK$199)</f>
        <v>0</v>
      </c>
      <c r="AL204" s="8">
        <f>SUBTOTAL(109,AL$5:AL$198)</f>
        <v>0</v>
      </c>
      <c r="AM204" s="8"/>
      <c r="AN204" s="8">
        <f>SUBTOTAL(109,AN$5:AN$199)</f>
        <v>0</v>
      </c>
      <c r="AO204" s="8">
        <f>SUBTOTAL(109,AO$5:AO$198)</f>
        <v>0</v>
      </c>
      <c r="AP204" s="8"/>
      <c r="AQ204" s="8">
        <f>SUBTOTAL(109,AQ$5:AQ$199)</f>
        <v>0</v>
      </c>
      <c r="AR204" s="8">
        <f>SUBTOTAL(109,AR$5:AR$198)</f>
        <v>0</v>
      </c>
      <c r="AS204" s="8"/>
      <c r="AT204" s="8">
        <f>SUBTOTAL(109,AT$5:AT$199)</f>
        <v>0</v>
      </c>
      <c r="AU204" s="8">
        <f>SUBTOTAL(109,AU$5:AU$198)</f>
        <v>0</v>
      </c>
      <c r="AV204" s="8"/>
      <c r="AW204" s="8">
        <f>SUBTOTAL(109,AW$5:AW$199)</f>
        <v>0</v>
      </c>
      <c r="AX204" s="8">
        <f>SUBTOTAL(109,AX$5:AX$198)</f>
        <v>0</v>
      </c>
      <c r="AY204" s="8"/>
      <c r="AZ204" s="8">
        <f t="shared" ref="AZ204:CC204" si="36">SUBTOTAL(109,AZ$5:AZ$198)</f>
        <v>0</v>
      </c>
      <c r="BA204" s="8" t="e">
        <f t="shared" si="36"/>
        <v>#REF!</v>
      </c>
      <c r="BB204" s="8" t="e">
        <f t="shared" si="36"/>
        <v>#REF!</v>
      </c>
      <c r="BC204" s="8">
        <f t="shared" si="36"/>
        <v>0</v>
      </c>
      <c r="BD204" s="8" t="e">
        <f t="shared" si="36"/>
        <v>#REF!</v>
      </c>
      <c r="BE204" s="8" t="e">
        <f t="shared" si="36"/>
        <v>#REF!</v>
      </c>
      <c r="BF204" s="8">
        <f t="shared" si="36"/>
        <v>0</v>
      </c>
      <c r="BG204" s="8" t="e">
        <f t="shared" si="36"/>
        <v>#REF!</v>
      </c>
      <c r="BH204" s="8" t="e">
        <f t="shared" si="36"/>
        <v>#REF!</v>
      </c>
      <c r="BI204" s="8">
        <f t="shared" si="36"/>
        <v>0</v>
      </c>
      <c r="BJ204" s="8" t="e">
        <f t="shared" si="36"/>
        <v>#REF!</v>
      </c>
      <c r="BK204" s="8" t="e">
        <f t="shared" si="36"/>
        <v>#REF!</v>
      </c>
      <c r="BL204" s="8">
        <f t="shared" si="36"/>
        <v>0</v>
      </c>
      <c r="BM204" s="8" t="e">
        <f t="shared" si="36"/>
        <v>#REF!</v>
      </c>
      <c r="BN204" s="8" t="e">
        <f t="shared" si="36"/>
        <v>#REF!</v>
      </c>
      <c r="BO204" s="8">
        <f t="shared" si="36"/>
        <v>0</v>
      </c>
      <c r="BP204" s="8" t="e">
        <f t="shared" si="36"/>
        <v>#REF!</v>
      </c>
      <c r="BQ204" s="8" t="e">
        <f t="shared" si="36"/>
        <v>#REF!</v>
      </c>
      <c r="BR204" s="8">
        <f t="shared" si="36"/>
        <v>0</v>
      </c>
      <c r="BS204" s="8" t="e">
        <f t="shared" si="36"/>
        <v>#REF!</v>
      </c>
      <c r="BT204" s="8" t="e">
        <f t="shared" si="36"/>
        <v>#REF!</v>
      </c>
      <c r="BU204" s="8">
        <f t="shared" si="36"/>
        <v>0</v>
      </c>
      <c r="BV204" s="8" t="e">
        <f t="shared" si="36"/>
        <v>#REF!</v>
      </c>
      <c r="BW204" s="8" t="e">
        <f t="shared" si="36"/>
        <v>#REF!</v>
      </c>
      <c r="BX204" s="8">
        <f t="shared" si="36"/>
        <v>0</v>
      </c>
      <c r="BY204" s="8" t="e">
        <f t="shared" si="36"/>
        <v>#REF!</v>
      </c>
      <c r="BZ204" s="8" t="e">
        <f t="shared" si="36"/>
        <v>#REF!</v>
      </c>
      <c r="CA204" s="8">
        <f t="shared" si="36"/>
        <v>0</v>
      </c>
      <c r="CB204" s="8" t="e">
        <f t="shared" si="36"/>
        <v>#REF!</v>
      </c>
      <c r="CC204" s="8" t="e">
        <f t="shared" si="36"/>
        <v>#REF!</v>
      </c>
      <c r="CD204" s="35"/>
      <c r="CE204" s="35"/>
    </row>
  </sheetData>
  <autoFilter ref="C3:CE198" xr:uid="{00000000-0009-0000-0000-000000000000}"/>
  <mergeCells count="48">
    <mergeCell ref="BL200:BM200"/>
    <mergeCell ref="BO200:BP200"/>
    <mergeCell ref="V1:X1"/>
    <mergeCell ref="J1:L1"/>
    <mergeCell ref="M1:O1"/>
    <mergeCell ref="P1:R1"/>
    <mergeCell ref="S1:U1"/>
    <mergeCell ref="AW1:AY1"/>
    <mergeCell ref="AH1:AJ1"/>
    <mergeCell ref="AK1:AM1"/>
    <mergeCell ref="AN1:AP1"/>
    <mergeCell ref="AQ1:AS1"/>
    <mergeCell ref="AT1:AV1"/>
    <mergeCell ref="BL1:BN1"/>
    <mergeCell ref="BO1:BQ1"/>
    <mergeCell ref="AZ1:BB1"/>
    <mergeCell ref="BC1:BE1"/>
    <mergeCell ref="BF1:BH1"/>
    <mergeCell ref="BI1:BK1"/>
    <mergeCell ref="BX1:BZ1"/>
    <mergeCell ref="CA1:CC1"/>
    <mergeCell ref="BR1:BT1"/>
    <mergeCell ref="BU1:BW1"/>
    <mergeCell ref="BR200:BS200"/>
    <mergeCell ref="BU200:BV200"/>
    <mergeCell ref="BX200:BY200"/>
    <mergeCell ref="CA200:CB200"/>
    <mergeCell ref="AE1:AG1"/>
    <mergeCell ref="AE200:AF200"/>
    <mergeCell ref="AH200:AI200"/>
    <mergeCell ref="AK200:AL200"/>
    <mergeCell ref="AN200:AO200"/>
    <mergeCell ref="AQ200:AR200"/>
    <mergeCell ref="AT200:AU200"/>
    <mergeCell ref="AW200:AX200"/>
    <mergeCell ref="AZ200:BA200"/>
    <mergeCell ref="BC200:BD200"/>
    <mergeCell ref="BF200:BG200"/>
    <mergeCell ref="BI200:BJ200"/>
    <mergeCell ref="AB1:AD1"/>
    <mergeCell ref="Y1:AA1"/>
    <mergeCell ref="J200:K200"/>
    <mergeCell ref="M200:N200"/>
    <mergeCell ref="P200:Q200"/>
    <mergeCell ref="S200:T200"/>
    <mergeCell ref="V200:W200"/>
    <mergeCell ref="Y200:Z200"/>
    <mergeCell ref="AB200:AC200"/>
  </mergeCells>
  <phoneticPr fontId="2" type="noConversion"/>
  <conditionalFormatting sqref="I204">
    <cfRule type="cellIs" dxfId="382" priority="534" stopIfTrue="1" operator="lessThan">
      <formula>C204*0.75</formula>
    </cfRule>
  </conditionalFormatting>
  <conditionalFormatting sqref="J2:J3 CA2:CA3 BR2:BR3 BU2:BU3 P2:P3 S2:S3 V2:V3 Y2:Y3 AB2:AB3 AE2:AE3 AH2:AH3 AK2:AK3 AN2:AN3 AQ2:AQ3 AT2:AT3 AW2:AW3 AZ2:AZ3 BC2:BC3 BF2:BF3 BI2:BI3 BL2:BL3 BO2:BO3 BX2:BX3 M2:M3">
    <cfRule type="expression" dxfId="381" priority="528" stopIfTrue="1">
      <formula>J$1=TODAY()+DailyScrumDateModifier</formula>
    </cfRule>
  </conditionalFormatting>
  <conditionalFormatting sqref="K2:K3 Q2:Q3 T2:T3 W2:W3 Z2:Z3 AC2:AC3 AF2:AF3 AI2:AI3 AL2:AL3 AO2:AO3 AR2:AR3 AU2:AU3 AX2:AX3 BA2:BA3 BD2:BD3 BG2:BG3 BJ2:BJ3 BM2:BM3 BP2:BP3 BS2:BS3 BV2:BV3 BY2:BY3 CB2:CB3 N2:N3">
    <cfRule type="expression" dxfId="380" priority="529" stopIfTrue="1">
      <formula>J$1=TODAY()+DailyScrumDateModifier</formula>
    </cfRule>
  </conditionalFormatting>
  <conditionalFormatting sqref="L2:L3 R2:R3 U2:U3 X2:X3 AA2:AA3 AD2:AD3 AG2:AG3 AJ2:AJ3 AM2:AM3 AP2:AP3 AS2:AS3 AV2:AV3 AY2:AY3 BB2:BB3 BE2:BE3 BH2:BH3 BK2:BK3 BN2:BN3 BQ2:BQ3 BT2:BT3 BW2:BW3 BZ2:BZ3 CC2:CC3 O2:O3">
    <cfRule type="expression" dxfId="379" priority="530" stopIfTrue="1">
      <formula>J$1=TODAY()+DailyScrumDateModifier</formula>
    </cfRule>
  </conditionalFormatting>
  <conditionalFormatting sqref="CE199 C5:E198">
    <cfRule type="expression" dxfId="378" priority="537" stopIfTrue="1">
      <formula>MOD(ROW(),2)</formula>
    </cfRule>
  </conditionalFormatting>
  <conditionalFormatting sqref="J1:CC1">
    <cfRule type="expression" dxfId="377" priority="531" stopIfTrue="1">
      <formula>J$1=TODAY()+DailyScrumDateModifier</formula>
    </cfRule>
  </conditionalFormatting>
  <conditionalFormatting sqref="J205:K206 M205:N206">
    <cfRule type="expression" dxfId="376" priority="532" stopIfTrue="1">
      <formula>"I1=TODAY()"</formula>
    </cfRule>
  </conditionalFormatting>
  <conditionalFormatting sqref="G200">
    <cfRule type="cellIs" dxfId="375" priority="533" stopIfTrue="1" operator="equal">
      <formula>"Complete"</formula>
    </cfRule>
  </conditionalFormatting>
  <conditionalFormatting sqref="G5:G198">
    <cfRule type="cellIs" dxfId="374" priority="539" stopIfTrue="1" operator="equal">
      <formula>"Complete"</formula>
    </cfRule>
  </conditionalFormatting>
  <conditionalFormatting sqref="A4:E4">
    <cfRule type="expression" dxfId="373" priority="355" stopIfTrue="1">
      <formula>MOD(ROW(),2)</formula>
    </cfRule>
  </conditionalFormatting>
  <conditionalFormatting sqref="G4">
    <cfRule type="cellIs" dxfId="372" priority="357" stopIfTrue="1" operator="equal">
      <formula>"Complete"</formula>
    </cfRule>
  </conditionalFormatting>
  <conditionalFormatting sqref="CA5:CA7 BX5:BX7 BU5:BU7 BR5:BR7 BO5:BO7 BL5:BL7 BI5:BI7 BF5:BF7 BC5:BC7 AZ5:AZ7 AZ9 BC9 BF9 BI9 BL9 BO9 BR9 BU9 BX9 CA9 CA11:CA14 BX11:BX14 BU11:BU14 BR11:BR14 BO11:BO14 BL11:BL14 BI11:BI14 BF11:BF14 BC11:BC14 AZ11:AZ14 AZ16 BC16 BF16 BI16 BL16 BO16 BR16 BU16 BX16 CA16 CA18 BX18 BU18 BR18 BO18 BL18 BI18 BF18 BC18 AZ18 AZ20 BC20 BF20 BI20 BL20 BO20 BR20 BU20 BX20 CA20 CA22 BX22 BU22 BR22 BO22 BL22 BI22 BF22 BC22 AZ22 CA24:CA25 BX24:BX25 BU24:BU25 BR24:BR25 BO24:BO25 BL24:BL25 BI24:BI25 BF24:BF25 BC24:BC25 AZ24:AZ25 AZ27 BC27 BF27 BI27 BL27 BO27 BR27 BU27 BX27 CA27 CA29:CA31 BX29:BX31 BU29:BU31 BR29:BR31 BO29:BO31 BL29:BL31 BI29:BI31 BF29:BF31 BC29:BC31 AZ29:AZ31 AZ33 BC33 BF33 BI33 BL33 BO33 BR33 BU33 BX33 CA33 CA35:CA38 BX35:BX38 BU35:BU38 BR35:BR38 BO35:BO38 BL35:BL38 BI35:BI38 BF35:BF38 BC35:BC38 AZ35:AZ38 AZ40 BC40 BF40 BI40 BL40 BO40 BR40 BU40 BX40 CA40 CA42:CA44 BX42:BX44 BU42:BU44 BR42:BR44 BO42:BO44 BL42:BL44 BI42:BI44 BF42:BF44 BC42:BC44 AZ42:AZ44 AZ46:AZ47 BC46:BC47 BF46:BF47 BI46:BI47 BL46:BL47 BO46:BO47 BR46:BR47 BU46:BU47 BX46:BX47 CA46:CA47 CA49:CA50 BX49:BX50 BU49:BU50 BR49:BR50 BO49:BO50 BL49:BL50 BI49:BI50 BF49:BF50 BC49:BC50 AZ49:AZ50 AZ52:AZ53 BC52:BC53 BF52:BF53 BI52:BI53 BL52:BL53 BO52:BO53 BR52:BR53 BU52:BU53 BX52:BX53 CA52:CA53 CA55 BX55 BU55 BR55 BO55 BL55 BI55 BF55 BC55 AZ55 AZ57 BC57 BF57 BI57 BL57 BO57 BR57 BU57 BX57 CA57 CA59 BX59 BU59 BR59 BO59 BL59 BI59 BF59 BC59 AZ59 AZ61 BC61 BF61 BI61 BL61 BO61 BR61 BU61 BX61 CA61 CA63 BX63 BU63 BR63 BO63 BL63 BI63 BF63 BC63 AZ63 AZ65 BC65 BF65 BI65 BL65 BO65 BR65 BU65 BX65 CA65 CA67 BX67 BU67 BR67 BO67 BL67 BI67 BF67 BC67 AZ67 CA72:CA74 BX72:BX74 BU72:BU74 BR72:BR74 BO72:BO74 BL72:BL74 BI72:BI74 BF72:BF74 BC72:BC74 AZ72:AZ74 AZ77 BC77 BF77 BI77 BL77 BO77 BR77 BU77 BX77 CA77 CA79 BX79 BU79 BR79 BO79 BL79 BI79 BF79 BC79 AZ79 AZ81 BC81 BF81 BI81 BL81 BO81 BR81 BU81 BX81 CA81">
    <cfRule type="expression" dxfId="371" priority="349" stopIfTrue="1">
      <formula>AZ$1=TODAY()+DailyScrumDateModifier</formula>
    </cfRule>
  </conditionalFormatting>
  <conditionalFormatting sqref="CB5:CB7 BY5:BY7 BV5:BV7 BS5:BS7 BP5:BP7 BM5:BM7 BJ5:BJ7 BG5:BG7 BD5:BD7 BA5:BA7 BA9 BD9 BG9 BJ9 BM9 BP9 BS9 BV9 BY9 CB9 CB11:CB14 BY11:BY14 BV11:BV14 BS11:BS14 BP11:BP14 BM11:BM14 BJ11:BJ14 BG11:BG14 BD11:BD14 BA11:BA14 BA16 BD16 BG16 BJ16 BM16 BP16 BS16 BV16 BY16 CB16 CB18 BY18 BV18 BS18 BP18 BM18 BJ18 BG18 BD18 BA18 BA20 BD20 BG20 BJ20 BM20 BP20 BS20 BV20 BY20 CB20 CB22 BY22 BV22 BS22 BP22 BM22 BJ22 BG22 BD22 BA22 CB24:CB25 BY24:BY25 BV24:BV25 BS24:BS25 BP24:BP25 BM24:BM25 BJ24:BJ25 BG24:BG25 BD24:BD25 BA24:BA25 BA27 BD27 BG27 BJ27 BM27 BP27 BS27 BV27 BY27 CB27 CB29:CB31 BY29:BY31 BV29:BV31 BS29:BS31 BP29:BP31 BM29:BM31 BJ29:BJ31 BG29:BG31 BD29:BD31 BA29:BA31 BA33 BD33 BG33 BJ33 BM33 BP33 BS33 BV33 BY33 CB33 CB35:CB38 BY35:BY38 BV35:BV38 BS35:BS38 BP35:BP38 BM35:BM38 BJ35:BJ38 BG35:BG38 BD35:BD38 BA35:BA38 BA40 BD40 BG40 BJ40 BM40 BP40 BS40 BV40 BY40 CB40 CB42:CB44 BY42:BY44 BV42:BV44 BS42:BS44 BP42:BP44 BM42:BM44 BJ42:BJ44 BG42:BG44 BD42:BD44 BA42:BA44 BA46:BA47 BD46:BD47 BG46:BG47 BJ46:BJ47 BM46:BM47 BP46:BP47 BS46:BS47 BV46:BV47 BY46:BY47 CB46:CB47 CB49:CB50 BY49:BY50 BV49:BV50 BS49:BS50 BP49:BP50 BM49:BM50 BJ49:BJ50 BG49:BG50 BD49:BD50 BA49:BA50 BA52:BA53 BD52:BD53 BG52:BG53 BJ52:BJ53 BM52:BM53 BP52:BP53 BS52:BS53 BV52:BV53 BY52:BY53 CB52:CB53 CB55 BY55 BV55 BS55 BP55 BM55 BJ55 BG55 BD55 BA55 BA57 BD57 BG57 BJ57 BM57 BP57 BS57 BV57 BY57 CB57 CB59 BY59 BV59 BS59 BP59 BM59 BJ59 BG59 BD59 BA59 BA61 BD61 BG61 BJ61 BM61 BP61 BS61 BV61 BY61 CB61 CB63 BY63 BV63 BS63 BP63 BM63 BJ63 BG63 BD63 BA63 BA65 BD65 BG65 BJ65 BM65 BP65 BS65 BV65 BY65 CB65 CB67 BY67 BV67 BS67 BP67 BM67 BJ67 BG67 BD67 BA67 CB72:CB74 BY72:BY74 BV72:BV74 BS72:BS74 BP72:BP74 BM72:BM74 BJ72:BJ74 BG72:BG74 BD72:BD74 BA72:BA74 BA77 BD77 BG77 BJ77 BM77 BP77 BS77 BV77 BY77 CB77 CB79 BY79 BV79 BS79 BP79 BM79 BJ79 BG79 BD79 BA79 BA81 BD81 BG81 BJ81 BM81 BP81 BS81 BV81 BY81 CB81">
    <cfRule type="expression" dxfId="370" priority="350" stopIfTrue="1">
      <formula>AZ$1=TODAY()+DailyScrumDateModifier</formula>
    </cfRule>
  </conditionalFormatting>
  <conditionalFormatting sqref="CE5:CE7 CE9 CE11:CE14 H13:H14 H16 CE16 CE18 H18 H20 CE20 CE22 H22 CE24:CE25 H24:H25 H27 CE27 CE29:CE31 H29:H31 H33 CE33 CE35:CE38 H35:H38 H40 CE40 CE42:CE44 H42:H44 H46:H47 CE46:CE47 CE49:CE50 H49:H50 H52:H53 CE52:CE53 CE55 H55 H57 CE57 CE59 H59 H61 CE61 CE63 H63 H65 CE65 CE67 H67 CE72:CE74 H72:H74 H77 CE77 CE79 H79 H81 CE81 J5:R198">
    <cfRule type="expression" dxfId="369" priority="351" stopIfTrue="1">
      <formula>MOD(ROW(),2)</formula>
    </cfRule>
  </conditionalFormatting>
  <conditionalFormatting sqref="CC5:CC7 BZ5:BZ7 BW5:BW7 BT5:BT7 BQ5:BQ7 BN5:BN7 BK5:BK7 BH5:BH7 BE5:BE7 BB5:BB7 BB9 BE9 BH9 BK9 BN9 BQ9 BT9 BW9 BZ9 CC9 CC11:CC14 BZ11:BZ14 BW11:BW14 BT11:BT14 BQ11:BQ14 BN11:BN14 BK11:BK14 BH11:BH14 BE11:BE14 BB11:BB14 BB16 BE16 BH16 BK16 BN16 BQ16 BT16 BW16 BZ16 CC16 CC18 BZ18 BW18 BT18 BQ18 BN18 BK18 BH18 BE18 BB18 BB20 BE20 BH20 BK20 BN20 BQ20 BT20 BW20 BZ20 CC20 CC22 BZ22 BW22 BT22 BQ22 BN22 BK22 BH22 BE22 BB22 CC24:CC25 BZ24:BZ25 BW24:BW25 BT24:BT25 BQ24:BQ25 BN24:BN25 BK24:BK25 BH24:BH25 BE24:BE25 BB24:BB25 BB27 BE27 BH27 BK27 BN27 BQ27 BT27 BW27 BZ27 CC27 CC29:CC31 BZ29:BZ31 BW29:BW31 BT29:BT31 BQ29:BQ31 BN29:BN31 BK29:BK31 BH29:BH31 BE29:BE31 BB29:BB31 BB33 BE33 BH33 BK33 BN33 BQ33 BT33 BW33 BZ33 CC33 CC35:CC38 BZ35:BZ38 BW35:BW38 BT35:BT38 BQ35:BQ38 BN35:BN38 BK35:BK38 BH35:BH38 BE35:BE38 BB35:BB38 BB40 BE40 BH40 BK40 BN40 BQ40 BT40 BW40 BZ40 CC40 CC42:CC44 BZ42:BZ44 BW42:BW44 BT42:BT44 BQ42:BQ44 BN42:BN44 BK42:BK44 BH42:BH44 BE42:BE44 BB42:BB44 BB46:BB47 BE46:BE47 BH46:BH47 BK46:BK47 BN46:BN47 BQ46:BQ47 BT46:BT47 BW46:BW47 BZ46:BZ47 CC46:CC47 CC49:CC50 BZ49:BZ50 BW49:BW50 BT49:BT50 BQ49:BQ50 BN49:BN50 BK49:BK50 BH49:BH50 BE49:BE50 BB49:BB50 BB52:BB53 BE52:BE53 BH52:BH53 BK52:BK53 BN52:BN53 BQ52:BQ53 BT52:BT53 BW52:BW53 BZ52:BZ53 CC52:CC53 CC55 BZ55 BW55 BT55 BQ55 BN55 BK55 BH55 BE55 BB55 BB57 BE57 BH57 BK57 BN57 BQ57 BT57 BW57 BZ57 CC57 CC59 BZ59 BW59 BT59 BQ59 BN59 BK59 BH59 BE59 BB59 BB61 BE61 BH61 BK61 BN61 BQ61 BT61 BW61 BZ61 CC61 CC63 BZ63 BW63 BT63 BQ63 BN63 BK63 BH63 BE63 BB63 BB65 BE65 BH65 BK65 BN65 BQ65 BT65 BW65 BZ65 CC65 CC67 BZ67 BW67 BT67 BQ67 BN67 BK67 BH67 BE67 BB67 CC72:CC74 BZ72:BZ74 BW72:BW74 BT72:BT74 BQ72:BQ74 BN72:BN74 BK72:BK74 BH72:BH74 BE72:BE74 BB72:BB74 BB77 BE77 BH77 BK77 BN77 BQ77 BT77 BW77 BZ77 CC77 CC79 BZ79 BW79 BT79 BQ79 BN79 BK79 BH79 BE79 BB79 BB81 BE81 BH81 BK81 BN81 BQ81 BT81 BW81 BZ81 CC81">
    <cfRule type="cellIs" dxfId="368" priority="352" stopIfTrue="1" operator="equal">
      <formula>"Pending"</formula>
    </cfRule>
  </conditionalFormatting>
  <conditionalFormatting sqref="AZ8 BC8 BF8 BI8 BL8 BO8 BR8 BU8 BX8 CA8">
    <cfRule type="expression" dxfId="367" priority="345" stopIfTrue="1">
      <formula>AZ$1=TODAY()+DailyScrumDateModifier</formula>
    </cfRule>
  </conditionalFormatting>
  <conditionalFormatting sqref="BA8 BD8 BG8 BJ8 BM8 BP8 BS8 BV8 BY8 CB8">
    <cfRule type="expression" dxfId="366" priority="346" stopIfTrue="1">
      <formula>AZ$1=TODAY()+DailyScrumDateModifier</formula>
    </cfRule>
  </conditionalFormatting>
  <conditionalFormatting sqref="CE8">
    <cfRule type="expression" dxfId="365" priority="347" stopIfTrue="1">
      <formula>MOD(ROW(),2)</formula>
    </cfRule>
  </conditionalFormatting>
  <conditionalFormatting sqref="BB8 BE8 BH8 BK8 BN8 BQ8 BT8 BW8 BZ8 CC8">
    <cfRule type="cellIs" dxfId="364" priority="348" stopIfTrue="1" operator="equal">
      <formula>"Pending"</formula>
    </cfRule>
  </conditionalFormatting>
  <conditionalFormatting sqref="CA10 BX10 BU10 BR10 BO10 BL10 BI10 BF10 BC10 AZ10">
    <cfRule type="expression" dxfId="363" priority="341" stopIfTrue="1">
      <formula>AZ$1=TODAY()+DailyScrumDateModifier</formula>
    </cfRule>
  </conditionalFormatting>
  <conditionalFormatting sqref="CB10 BY10 BV10 BS10 BP10 BM10 BJ10 BG10 BD10 BA10">
    <cfRule type="expression" dxfId="362" priority="342" stopIfTrue="1">
      <formula>AZ$1=TODAY()+DailyScrumDateModifier</formula>
    </cfRule>
  </conditionalFormatting>
  <conditionalFormatting sqref="CE10">
    <cfRule type="expression" dxfId="361" priority="343" stopIfTrue="1">
      <formula>MOD(ROW(),2)</formula>
    </cfRule>
  </conditionalFormatting>
  <conditionalFormatting sqref="CC10 BZ10 BW10 BT10 BQ10 BN10 BK10 BH10 BE10 BB10">
    <cfRule type="cellIs" dxfId="360" priority="344" stopIfTrue="1" operator="equal">
      <formula>"Pending"</formula>
    </cfRule>
  </conditionalFormatting>
  <conditionalFormatting sqref="AZ15 BC15 BF15 BI15 BL15 BO15 BR15 BU15 BX15 CA15">
    <cfRule type="expression" dxfId="359" priority="337" stopIfTrue="1">
      <formula>AZ$1=TODAY()+DailyScrumDateModifier</formula>
    </cfRule>
  </conditionalFormatting>
  <conditionalFormatting sqref="BA15 BD15 BG15 BJ15 BM15 BP15 BS15 BV15 BY15 CB15">
    <cfRule type="expression" dxfId="358" priority="338" stopIfTrue="1">
      <formula>AZ$1=TODAY()+DailyScrumDateModifier</formula>
    </cfRule>
  </conditionalFormatting>
  <conditionalFormatting sqref="H15 CE15">
    <cfRule type="expression" dxfId="357" priority="339" stopIfTrue="1">
      <formula>MOD(ROW(),2)</formula>
    </cfRule>
  </conditionalFormatting>
  <conditionalFormatting sqref="BB15 BE15 BH15 BK15 BN15 BQ15 BT15 BW15 BZ15 CC15">
    <cfRule type="cellIs" dxfId="356" priority="340" stopIfTrue="1" operator="equal">
      <formula>"Pending"</formula>
    </cfRule>
  </conditionalFormatting>
  <conditionalFormatting sqref="CA17 BX17 BU17 BR17 BO17 BL17 BI17 BF17 BC17 AZ17">
    <cfRule type="expression" dxfId="355" priority="333" stopIfTrue="1">
      <formula>AZ$1=TODAY()+DailyScrumDateModifier</formula>
    </cfRule>
  </conditionalFormatting>
  <conditionalFormatting sqref="CB17 BY17 BV17 BS17 BP17 BM17 BJ17 BG17 BD17 BA17">
    <cfRule type="expression" dxfId="354" priority="334" stopIfTrue="1">
      <formula>AZ$1=TODAY()+DailyScrumDateModifier</formula>
    </cfRule>
  </conditionalFormatting>
  <conditionalFormatting sqref="CE17 H17">
    <cfRule type="expression" dxfId="353" priority="335" stopIfTrue="1">
      <formula>MOD(ROW(),2)</formula>
    </cfRule>
  </conditionalFormatting>
  <conditionalFormatting sqref="CC17 BZ17 BW17 BT17 BQ17 BN17 BK17 BH17 BE17 BB17">
    <cfRule type="cellIs" dxfId="352" priority="336" stopIfTrue="1" operator="equal">
      <formula>"Pending"</formula>
    </cfRule>
  </conditionalFormatting>
  <conditionalFormatting sqref="AZ19 BC19 BF19 BI19 BL19 BO19 BR19 BU19 BX19 CA19">
    <cfRule type="expression" dxfId="351" priority="329" stopIfTrue="1">
      <formula>AZ$1=TODAY()+DailyScrumDateModifier</formula>
    </cfRule>
  </conditionalFormatting>
  <conditionalFormatting sqref="BA19 BD19 BG19 BJ19 BM19 BP19 BS19 BV19 BY19 CB19">
    <cfRule type="expression" dxfId="350" priority="330" stopIfTrue="1">
      <formula>AZ$1=TODAY()+DailyScrumDateModifier</formula>
    </cfRule>
  </conditionalFormatting>
  <conditionalFormatting sqref="H19 CE19">
    <cfRule type="expression" dxfId="349" priority="331" stopIfTrue="1">
      <formula>MOD(ROW(),2)</formula>
    </cfRule>
  </conditionalFormatting>
  <conditionalFormatting sqref="BB19 BE19 BH19 BK19 BN19 BQ19 BT19 BW19 BZ19 CC19">
    <cfRule type="cellIs" dxfId="348" priority="332" stopIfTrue="1" operator="equal">
      <formula>"Pending"</formula>
    </cfRule>
  </conditionalFormatting>
  <conditionalFormatting sqref="CA21 BX21 BU21 BR21 BO21 BL21 BI21 BF21 BC21 AZ21">
    <cfRule type="expression" dxfId="347" priority="325" stopIfTrue="1">
      <formula>AZ$1=TODAY()+DailyScrumDateModifier</formula>
    </cfRule>
  </conditionalFormatting>
  <conditionalFormatting sqref="CB21 BY21 BV21 BS21 BP21 BM21 BJ21 BG21 BD21 BA21">
    <cfRule type="expression" dxfId="346" priority="326" stopIfTrue="1">
      <formula>AZ$1=TODAY()+DailyScrumDateModifier</formula>
    </cfRule>
  </conditionalFormatting>
  <conditionalFormatting sqref="CE21 H21">
    <cfRule type="expression" dxfId="345" priority="327" stopIfTrue="1">
      <formula>MOD(ROW(),2)</formula>
    </cfRule>
  </conditionalFormatting>
  <conditionalFormatting sqref="CC21 BZ21 BW21 BT21 BQ21 BN21 BK21 BH21 BE21 BB21">
    <cfRule type="cellIs" dxfId="344" priority="328" stopIfTrue="1" operator="equal">
      <formula>"Pending"</formula>
    </cfRule>
  </conditionalFormatting>
  <conditionalFormatting sqref="AZ23 BC23 BF23 BI23 BL23 BO23 BR23 BU23 BX23 CA23">
    <cfRule type="expression" dxfId="343" priority="321" stopIfTrue="1">
      <formula>AZ$1=TODAY()+DailyScrumDateModifier</formula>
    </cfRule>
  </conditionalFormatting>
  <conditionalFormatting sqref="BA23 BD23 BG23 BJ23 BM23 BP23 BS23 BV23 BY23 CB23">
    <cfRule type="expression" dxfId="342" priority="322" stopIfTrue="1">
      <formula>AZ$1=TODAY()+DailyScrumDateModifier</formula>
    </cfRule>
  </conditionalFormatting>
  <conditionalFormatting sqref="H23 CE23">
    <cfRule type="expression" dxfId="341" priority="323" stopIfTrue="1">
      <formula>MOD(ROW(),2)</formula>
    </cfRule>
  </conditionalFormatting>
  <conditionalFormatting sqref="BB23 BE23 BH23 BK23 BN23 BQ23 BT23 BW23 BZ23 CC23">
    <cfRule type="cellIs" dxfId="340" priority="324" stopIfTrue="1" operator="equal">
      <formula>"Pending"</formula>
    </cfRule>
  </conditionalFormatting>
  <conditionalFormatting sqref="AZ26 BC26 BF26 BI26 BL26 BO26 BR26 BU26 BX26 CA26">
    <cfRule type="expression" dxfId="339" priority="317" stopIfTrue="1">
      <formula>AZ$1=TODAY()+DailyScrumDateModifier</formula>
    </cfRule>
  </conditionalFormatting>
  <conditionalFormatting sqref="BA26 BD26 BG26 BJ26 BM26 BP26 BS26 BV26 BY26 CB26">
    <cfRule type="expression" dxfId="338" priority="318" stopIfTrue="1">
      <formula>AZ$1=TODAY()+DailyScrumDateModifier</formula>
    </cfRule>
  </conditionalFormatting>
  <conditionalFormatting sqref="H26 CE26">
    <cfRule type="expression" dxfId="337" priority="319" stopIfTrue="1">
      <formula>MOD(ROW(),2)</formula>
    </cfRule>
  </conditionalFormatting>
  <conditionalFormatting sqref="BB26 BE26 BH26 BK26 BN26 BQ26 BT26 BW26 BZ26 CC26">
    <cfRule type="cellIs" dxfId="336" priority="320" stopIfTrue="1" operator="equal">
      <formula>"Pending"</formula>
    </cfRule>
  </conditionalFormatting>
  <conditionalFormatting sqref="CA28 BX28 BU28 BR28 BO28 BL28 BI28 BF28 BC28 AZ28">
    <cfRule type="expression" dxfId="335" priority="313" stopIfTrue="1">
      <formula>AZ$1=TODAY()+DailyScrumDateModifier</formula>
    </cfRule>
  </conditionalFormatting>
  <conditionalFormatting sqref="CB28 BY28 BV28 BS28 BP28 BM28 BJ28 BG28 BD28 BA28">
    <cfRule type="expression" dxfId="334" priority="314" stopIfTrue="1">
      <formula>AZ$1=TODAY()+DailyScrumDateModifier</formula>
    </cfRule>
  </conditionalFormatting>
  <conditionalFormatting sqref="CE28 H28">
    <cfRule type="expression" dxfId="333" priority="315" stopIfTrue="1">
      <formula>MOD(ROW(),2)</formula>
    </cfRule>
  </conditionalFormatting>
  <conditionalFormatting sqref="CC28 BZ28 BW28 BT28 BQ28 BN28 BK28 BH28 BE28 BB28">
    <cfRule type="cellIs" dxfId="332" priority="316" stopIfTrue="1" operator="equal">
      <formula>"Pending"</formula>
    </cfRule>
  </conditionalFormatting>
  <conditionalFormatting sqref="AZ32 BC32 BF32 BI32 BL32 BO32 BR32 BU32 BX32 CA32">
    <cfRule type="expression" dxfId="331" priority="309" stopIfTrue="1">
      <formula>AZ$1=TODAY()+DailyScrumDateModifier</formula>
    </cfRule>
  </conditionalFormatting>
  <conditionalFormatting sqref="BA32 BD32 BG32 BJ32 BM32 BP32 BS32 BV32 BY32 CB32">
    <cfRule type="expression" dxfId="330" priority="310" stopIfTrue="1">
      <formula>AZ$1=TODAY()+DailyScrumDateModifier</formula>
    </cfRule>
  </conditionalFormatting>
  <conditionalFormatting sqref="H32 CE32">
    <cfRule type="expression" dxfId="329" priority="311" stopIfTrue="1">
      <formula>MOD(ROW(),2)</formula>
    </cfRule>
  </conditionalFormatting>
  <conditionalFormatting sqref="BB32 BE32 BH32 BK32 BN32 BQ32 BT32 BW32 BZ32 CC32">
    <cfRule type="cellIs" dxfId="328" priority="312" stopIfTrue="1" operator="equal">
      <formula>"Pending"</formula>
    </cfRule>
  </conditionalFormatting>
  <conditionalFormatting sqref="CA34 BX34 BU34 BR34 BO34 BL34 BI34 BF34 BC34 AZ34">
    <cfRule type="expression" dxfId="327" priority="305" stopIfTrue="1">
      <formula>AZ$1=TODAY()+DailyScrumDateModifier</formula>
    </cfRule>
  </conditionalFormatting>
  <conditionalFormatting sqref="CB34 BY34 BV34 BS34 BP34 BM34 BJ34 BG34 BD34 BA34">
    <cfRule type="expression" dxfId="326" priority="306" stopIfTrue="1">
      <formula>AZ$1=TODAY()+DailyScrumDateModifier</formula>
    </cfRule>
  </conditionalFormatting>
  <conditionalFormatting sqref="CE34 H34">
    <cfRule type="expression" dxfId="325" priority="307" stopIfTrue="1">
      <formula>MOD(ROW(),2)</formula>
    </cfRule>
  </conditionalFormatting>
  <conditionalFormatting sqref="CC34 BZ34 BW34 BT34 BQ34 BN34 BK34 BH34 BE34 BB34">
    <cfRule type="cellIs" dxfId="324" priority="308" stopIfTrue="1" operator="equal">
      <formula>"Pending"</formula>
    </cfRule>
  </conditionalFormatting>
  <conditionalFormatting sqref="AZ39 BC39 BF39 BI39 BL39 BO39 BR39 BU39 BX39 CA39">
    <cfRule type="expression" dxfId="323" priority="301" stopIfTrue="1">
      <formula>AZ$1=TODAY()+DailyScrumDateModifier</formula>
    </cfRule>
  </conditionalFormatting>
  <conditionalFormatting sqref="BA39 BD39 BG39 BJ39 BM39 BP39 BS39 BV39 BY39 CB39">
    <cfRule type="expression" dxfId="322" priority="302" stopIfTrue="1">
      <formula>AZ$1=TODAY()+DailyScrumDateModifier</formula>
    </cfRule>
  </conditionalFormatting>
  <conditionalFormatting sqref="H39 CE39">
    <cfRule type="expression" dxfId="321" priority="303" stopIfTrue="1">
      <formula>MOD(ROW(),2)</formula>
    </cfRule>
  </conditionalFormatting>
  <conditionalFormatting sqref="BB39 BE39 BH39 BK39 BN39 BQ39 BT39 BW39 BZ39 CC39">
    <cfRule type="cellIs" dxfId="320" priority="304" stopIfTrue="1" operator="equal">
      <formula>"Pending"</formula>
    </cfRule>
  </conditionalFormatting>
  <conditionalFormatting sqref="CA41 BX41 BU41 BR41 BO41 BL41 BI41 BF41 BC41 AZ41">
    <cfRule type="expression" dxfId="319" priority="297" stopIfTrue="1">
      <formula>AZ$1=TODAY()+DailyScrumDateModifier</formula>
    </cfRule>
  </conditionalFormatting>
  <conditionalFormatting sqref="CB41 BY41 BV41 BS41 BP41 BM41 BJ41 BG41 BD41 BA41">
    <cfRule type="expression" dxfId="318" priority="298" stopIfTrue="1">
      <formula>AZ$1=TODAY()+DailyScrumDateModifier</formula>
    </cfRule>
  </conditionalFormatting>
  <conditionalFormatting sqref="CE41 H41">
    <cfRule type="expression" dxfId="317" priority="299" stopIfTrue="1">
      <formula>MOD(ROW(),2)</formula>
    </cfRule>
  </conditionalFormatting>
  <conditionalFormatting sqref="CC41 BZ41 BW41 BT41 BQ41 BN41 BK41 BH41 BE41 BB41">
    <cfRule type="cellIs" dxfId="316" priority="300" stopIfTrue="1" operator="equal">
      <formula>"Pending"</formula>
    </cfRule>
  </conditionalFormatting>
  <conditionalFormatting sqref="AZ45 BC45 BF45 BI45 BL45 BO45 BR45 BU45 BX45 CA45">
    <cfRule type="expression" dxfId="315" priority="293" stopIfTrue="1">
      <formula>AZ$1=TODAY()+DailyScrumDateModifier</formula>
    </cfRule>
  </conditionalFormatting>
  <conditionalFormatting sqref="BA45 BD45 BG45 BJ45 BM45 BP45 BS45 BV45 BY45 CB45">
    <cfRule type="expression" dxfId="314" priority="294" stopIfTrue="1">
      <formula>AZ$1=TODAY()+DailyScrumDateModifier</formula>
    </cfRule>
  </conditionalFormatting>
  <conditionalFormatting sqref="H45 CE45">
    <cfRule type="expression" dxfId="313" priority="295" stopIfTrue="1">
      <formula>MOD(ROW(),2)</formula>
    </cfRule>
  </conditionalFormatting>
  <conditionalFormatting sqref="BB45 BE45 BH45 BK45 BN45 BQ45 BT45 BW45 BZ45 CC45">
    <cfRule type="cellIs" dxfId="312" priority="296" stopIfTrue="1" operator="equal">
      <formula>"Pending"</formula>
    </cfRule>
  </conditionalFormatting>
  <conditionalFormatting sqref="CA48 BX48 BU48 BR48 BO48 BL48 BI48 BF48 BC48 AZ48">
    <cfRule type="expression" dxfId="311" priority="289" stopIfTrue="1">
      <formula>AZ$1=TODAY()+DailyScrumDateModifier</formula>
    </cfRule>
  </conditionalFormatting>
  <conditionalFormatting sqref="CB48 BY48 BV48 BS48 BP48 BM48 BJ48 BG48 BD48 BA48">
    <cfRule type="expression" dxfId="310" priority="290" stopIfTrue="1">
      <formula>AZ$1=TODAY()+DailyScrumDateModifier</formula>
    </cfRule>
  </conditionalFormatting>
  <conditionalFormatting sqref="CE48 H48">
    <cfRule type="expression" dxfId="309" priority="291" stopIfTrue="1">
      <formula>MOD(ROW(),2)</formula>
    </cfRule>
  </conditionalFormatting>
  <conditionalFormatting sqref="CC48 BZ48 BW48 BT48 BQ48 BN48 BK48 BH48 BE48 BB48">
    <cfRule type="cellIs" dxfId="308" priority="292" stopIfTrue="1" operator="equal">
      <formula>"Pending"</formula>
    </cfRule>
  </conditionalFormatting>
  <conditionalFormatting sqref="AZ51 BC51 BF51 BI51 BL51 BO51 BR51 BU51 BX51 CA51">
    <cfRule type="expression" dxfId="307" priority="285" stopIfTrue="1">
      <formula>AZ$1=TODAY()+DailyScrumDateModifier</formula>
    </cfRule>
  </conditionalFormatting>
  <conditionalFormatting sqref="BA51 BD51 BG51 BJ51 BM51 BP51 BS51 BV51 BY51 CB51">
    <cfRule type="expression" dxfId="306" priority="286" stopIfTrue="1">
      <formula>AZ$1=TODAY()+DailyScrumDateModifier</formula>
    </cfRule>
  </conditionalFormatting>
  <conditionalFormatting sqref="H51 CE51">
    <cfRule type="expression" dxfId="305" priority="287" stopIfTrue="1">
      <formula>MOD(ROW(),2)</formula>
    </cfRule>
  </conditionalFormatting>
  <conditionalFormatting sqref="BB51 BE51 BH51 BK51 BN51 BQ51 BT51 BW51 BZ51 CC51">
    <cfRule type="cellIs" dxfId="304" priority="288" stopIfTrue="1" operator="equal">
      <formula>"Pending"</formula>
    </cfRule>
  </conditionalFormatting>
  <conditionalFormatting sqref="CA54 BX54 BU54 BR54 BO54 BL54 BI54 BF54 BC54 AZ54">
    <cfRule type="expression" dxfId="303" priority="281" stopIfTrue="1">
      <formula>AZ$1=TODAY()+DailyScrumDateModifier</formula>
    </cfRule>
  </conditionalFormatting>
  <conditionalFormatting sqref="CB54 BY54 BV54 BS54 BP54 BM54 BJ54 BG54 BD54 BA54">
    <cfRule type="expression" dxfId="302" priority="282" stopIfTrue="1">
      <formula>AZ$1=TODAY()+DailyScrumDateModifier</formula>
    </cfRule>
  </conditionalFormatting>
  <conditionalFormatting sqref="CE54 H54">
    <cfRule type="expression" dxfId="301" priority="283" stopIfTrue="1">
      <formula>MOD(ROW(),2)</formula>
    </cfRule>
  </conditionalFormatting>
  <conditionalFormatting sqref="CC54 BZ54 BW54 BT54 BQ54 BN54 BK54 BH54 BE54 BB54">
    <cfRule type="cellIs" dxfId="300" priority="284" stopIfTrue="1" operator="equal">
      <formula>"Pending"</formula>
    </cfRule>
  </conditionalFormatting>
  <conditionalFormatting sqref="AZ56 BC56 BF56 BI56 BL56 BO56 BR56 BU56 BX56 CA56">
    <cfRule type="expression" dxfId="299" priority="277" stopIfTrue="1">
      <formula>AZ$1=TODAY()+DailyScrumDateModifier</formula>
    </cfRule>
  </conditionalFormatting>
  <conditionalFormatting sqref="BA56 BD56 BG56 BJ56 BM56 BP56 BS56 BV56 BY56 CB56">
    <cfRule type="expression" dxfId="298" priority="278" stopIfTrue="1">
      <formula>AZ$1=TODAY()+DailyScrumDateModifier</formula>
    </cfRule>
  </conditionalFormatting>
  <conditionalFormatting sqref="H56 CE56">
    <cfRule type="expression" dxfId="297" priority="279" stopIfTrue="1">
      <formula>MOD(ROW(),2)</formula>
    </cfRule>
  </conditionalFormatting>
  <conditionalFormatting sqref="BB56 BE56 BH56 BK56 BN56 BQ56 BT56 BW56 BZ56 CC56">
    <cfRule type="cellIs" dxfId="296" priority="280" stopIfTrue="1" operator="equal">
      <formula>"Pending"</formula>
    </cfRule>
  </conditionalFormatting>
  <conditionalFormatting sqref="CA58 BX58 BU58 BR58 BO58 BL58 BI58 BF58 BC58 AZ58">
    <cfRule type="expression" dxfId="295" priority="273" stopIfTrue="1">
      <formula>AZ$1=TODAY()+DailyScrumDateModifier</formula>
    </cfRule>
  </conditionalFormatting>
  <conditionalFormatting sqref="CB58 BY58 BV58 BS58 BP58 BM58 BJ58 BG58 BD58 BA58">
    <cfRule type="expression" dxfId="294" priority="274" stopIfTrue="1">
      <formula>AZ$1=TODAY()+DailyScrumDateModifier</formula>
    </cfRule>
  </conditionalFormatting>
  <conditionalFormatting sqref="CE58 H58">
    <cfRule type="expression" dxfId="293" priority="275" stopIfTrue="1">
      <formula>MOD(ROW(),2)</formula>
    </cfRule>
  </conditionalFormatting>
  <conditionalFormatting sqref="CC58 BZ58 BW58 BT58 BQ58 BN58 BK58 BH58 BE58 BB58">
    <cfRule type="cellIs" dxfId="292" priority="276" stopIfTrue="1" operator="equal">
      <formula>"Pending"</formula>
    </cfRule>
  </conditionalFormatting>
  <conditionalFormatting sqref="AZ60 BC60 BF60 BI60 BL60 BO60 BR60 BU60 BX60 CA60">
    <cfRule type="expression" dxfId="291" priority="269" stopIfTrue="1">
      <formula>AZ$1=TODAY()+DailyScrumDateModifier</formula>
    </cfRule>
  </conditionalFormatting>
  <conditionalFormatting sqref="BA60 BD60 BG60 BJ60 BM60 BP60 BS60 BV60 BY60 CB60">
    <cfRule type="expression" dxfId="290" priority="270" stopIfTrue="1">
      <formula>AZ$1=TODAY()+DailyScrumDateModifier</formula>
    </cfRule>
  </conditionalFormatting>
  <conditionalFormatting sqref="H60 CE60">
    <cfRule type="expression" dxfId="289" priority="271" stopIfTrue="1">
      <formula>MOD(ROW(),2)</formula>
    </cfRule>
  </conditionalFormatting>
  <conditionalFormatting sqref="BB60 BE60 BH60 BK60 BN60 BQ60 BT60 BW60 BZ60 CC60">
    <cfRule type="cellIs" dxfId="288" priority="272" stopIfTrue="1" operator="equal">
      <formula>"Pending"</formula>
    </cfRule>
  </conditionalFormatting>
  <conditionalFormatting sqref="CA62 BX62 BU62 BR62 BO62 BL62 BI62 BF62 BC62 AZ62">
    <cfRule type="expression" dxfId="287" priority="265" stopIfTrue="1">
      <formula>AZ$1=TODAY()+DailyScrumDateModifier</formula>
    </cfRule>
  </conditionalFormatting>
  <conditionalFormatting sqref="CB62 BY62 BV62 BS62 BP62 BM62 BJ62 BG62 BD62 BA62">
    <cfRule type="expression" dxfId="286" priority="266" stopIfTrue="1">
      <formula>AZ$1=TODAY()+DailyScrumDateModifier</formula>
    </cfRule>
  </conditionalFormatting>
  <conditionalFormatting sqref="CE62 H62">
    <cfRule type="expression" dxfId="285" priority="267" stopIfTrue="1">
      <formula>MOD(ROW(),2)</formula>
    </cfRule>
  </conditionalFormatting>
  <conditionalFormatting sqref="CC62 BZ62 BW62 BT62 BQ62 BN62 BK62 BH62 BE62 BB62">
    <cfRule type="cellIs" dxfId="284" priority="268" stopIfTrue="1" operator="equal">
      <formula>"Pending"</formula>
    </cfRule>
  </conditionalFormatting>
  <conditionalFormatting sqref="AZ64 BC64 BF64 BI64 BL64 BO64 BR64 BU64 BX64 CA64">
    <cfRule type="expression" dxfId="283" priority="261" stopIfTrue="1">
      <formula>AZ$1=TODAY()+DailyScrumDateModifier</formula>
    </cfRule>
  </conditionalFormatting>
  <conditionalFormatting sqref="BA64 BD64 BG64 BJ64 BM64 BP64 BS64 BV64 BY64 CB64">
    <cfRule type="expression" dxfId="282" priority="262" stopIfTrue="1">
      <formula>AZ$1=TODAY()+DailyScrumDateModifier</formula>
    </cfRule>
  </conditionalFormatting>
  <conditionalFormatting sqref="H64 CE64">
    <cfRule type="expression" dxfId="281" priority="263" stopIfTrue="1">
      <formula>MOD(ROW(),2)</formula>
    </cfRule>
  </conditionalFormatting>
  <conditionalFormatting sqref="BB64 BE64 BH64 BK64 BN64 BQ64 BT64 BW64 BZ64 CC64">
    <cfRule type="cellIs" dxfId="280" priority="264" stopIfTrue="1" operator="equal">
      <formula>"Pending"</formula>
    </cfRule>
  </conditionalFormatting>
  <conditionalFormatting sqref="CA66 BX66 BU66 BR66 BO66 BL66 BI66 BF66 BC66 AZ66">
    <cfRule type="expression" dxfId="279" priority="257" stopIfTrue="1">
      <formula>AZ$1=TODAY()+DailyScrumDateModifier</formula>
    </cfRule>
  </conditionalFormatting>
  <conditionalFormatting sqref="CB66 BY66 BV66 BS66 BP66 BM66 BJ66 BG66 BD66 BA66">
    <cfRule type="expression" dxfId="278" priority="258" stopIfTrue="1">
      <formula>AZ$1=TODAY()+DailyScrumDateModifier</formula>
    </cfRule>
  </conditionalFormatting>
  <conditionalFormatting sqref="CE66 H66">
    <cfRule type="expression" dxfId="277" priority="259" stopIfTrue="1">
      <formula>MOD(ROW(),2)</formula>
    </cfRule>
  </conditionalFormatting>
  <conditionalFormatting sqref="CC66 BZ66 BW66 BT66 BQ66 BN66 BK66 BH66 BE66 BB66">
    <cfRule type="cellIs" dxfId="276" priority="260" stopIfTrue="1" operator="equal">
      <formula>"Pending"</formula>
    </cfRule>
  </conditionalFormatting>
  <conditionalFormatting sqref="AZ68 BC68 BF68 BI68 BL68 BO68 BR68 BU68 BX68 CA68">
    <cfRule type="expression" dxfId="275" priority="253" stopIfTrue="1">
      <formula>AZ$1=TODAY()+DailyScrumDateModifier</formula>
    </cfRule>
  </conditionalFormatting>
  <conditionalFormatting sqref="BA68 BD68 BG68 BJ68 BM68 BP68 BS68 BV68 BY68 CB68">
    <cfRule type="expression" dxfId="274" priority="254" stopIfTrue="1">
      <formula>AZ$1=TODAY()+DailyScrumDateModifier</formula>
    </cfRule>
  </conditionalFormatting>
  <conditionalFormatting sqref="H68 CE68">
    <cfRule type="expression" dxfId="273" priority="255" stopIfTrue="1">
      <formula>MOD(ROW(),2)</formula>
    </cfRule>
  </conditionalFormatting>
  <conditionalFormatting sqref="BB68 BE68 BH68 BK68 BN68 BQ68 BT68 BW68 BZ68 CC68">
    <cfRule type="cellIs" dxfId="272" priority="256" stopIfTrue="1" operator="equal">
      <formula>"Pending"</formula>
    </cfRule>
  </conditionalFormatting>
  <conditionalFormatting sqref="CA69 BX69 BU69 BR69 BO69 BL69 BI69 BF69 BC69 AZ69">
    <cfRule type="expression" dxfId="271" priority="249" stopIfTrue="1">
      <formula>AZ$1=TODAY()+DailyScrumDateModifier</formula>
    </cfRule>
  </conditionalFormatting>
  <conditionalFormatting sqref="CB69 BY69 BV69 BS69 BP69 BM69 BJ69 BG69 BD69 BA69">
    <cfRule type="expression" dxfId="270" priority="250" stopIfTrue="1">
      <formula>AZ$1=TODAY()+DailyScrumDateModifier</formula>
    </cfRule>
  </conditionalFormatting>
  <conditionalFormatting sqref="CE69 H69">
    <cfRule type="expression" dxfId="269" priority="251" stopIfTrue="1">
      <formula>MOD(ROW(),2)</formula>
    </cfRule>
  </conditionalFormatting>
  <conditionalFormatting sqref="CC69 BZ69 BW69 BT69 BQ69 BN69 BK69 BH69 BE69 BB69">
    <cfRule type="cellIs" dxfId="268" priority="252" stopIfTrue="1" operator="equal">
      <formula>"Pending"</formula>
    </cfRule>
  </conditionalFormatting>
  <conditionalFormatting sqref="AZ71 BC71 BF71 BI71 BL71 BO71 BR71 BU71 BX71 CA71">
    <cfRule type="expression" dxfId="267" priority="245" stopIfTrue="1">
      <formula>AZ$1=TODAY()+DailyScrumDateModifier</formula>
    </cfRule>
  </conditionalFormatting>
  <conditionalFormatting sqref="BA71 BD71 BG71 BJ71 BM71 BP71 BS71 BV71 BY71 CB71">
    <cfRule type="expression" dxfId="266" priority="246" stopIfTrue="1">
      <formula>AZ$1=TODAY()+DailyScrumDateModifier</formula>
    </cfRule>
  </conditionalFormatting>
  <conditionalFormatting sqref="H71 CE71">
    <cfRule type="expression" dxfId="265" priority="247" stopIfTrue="1">
      <formula>MOD(ROW(),2)</formula>
    </cfRule>
  </conditionalFormatting>
  <conditionalFormatting sqref="BB71 BE71 BH71 BK71 BN71 BQ71 BT71 BW71 BZ71 CC71">
    <cfRule type="cellIs" dxfId="264" priority="248" stopIfTrue="1" operator="equal">
      <formula>"Pending"</formula>
    </cfRule>
  </conditionalFormatting>
  <conditionalFormatting sqref="AZ76 BC76 BF76 BI76 BL76 BO76 BR76 BU76 BX76 CA76">
    <cfRule type="expression" dxfId="263" priority="237" stopIfTrue="1">
      <formula>AZ$1=TODAY()+DailyScrumDateModifier</formula>
    </cfRule>
  </conditionalFormatting>
  <conditionalFormatting sqref="BA76 BD76 BG76 BJ76 BM76 BP76 BS76 BV76 BY76 CB76">
    <cfRule type="expression" dxfId="262" priority="238" stopIfTrue="1">
      <formula>AZ$1=TODAY()+DailyScrumDateModifier</formula>
    </cfRule>
  </conditionalFormatting>
  <conditionalFormatting sqref="H76 CE76">
    <cfRule type="expression" dxfId="261" priority="239" stopIfTrue="1">
      <formula>MOD(ROW(),2)</formula>
    </cfRule>
  </conditionalFormatting>
  <conditionalFormatting sqref="BB76 BE76 BH76 BK76 BN76 BQ76 BT76 BW76 BZ76 CC76">
    <cfRule type="cellIs" dxfId="260" priority="240" stopIfTrue="1" operator="equal">
      <formula>"Pending"</formula>
    </cfRule>
  </conditionalFormatting>
  <conditionalFormatting sqref="CA78 BX78 BU78 BR78 BO78 BL78 BI78 BF78 BC78 AZ78">
    <cfRule type="expression" dxfId="259" priority="233" stopIfTrue="1">
      <formula>AZ$1=TODAY()+DailyScrumDateModifier</formula>
    </cfRule>
  </conditionalFormatting>
  <conditionalFormatting sqref="CB78 BY78 BV78 BS78 BP78 BM78 BJ78 BG78 BD78 BA78">
    <cfRule type="expression" dxfId="258" priority="234" stopIfTrue="1">
      <formula>AZ$1=TODAY()+DailyScrumDateModifier</formula>
    </cfRule>
  </conditionalFormatting>
  <conditionalFormatting sqref="CE78 H78">
    <cfRule type="expression" dxfId="257" priority="235" stopIfTrue="1">
      <formula>MOD(ROW(),2)</formula>
    </cfRule>
  </conditionalFormatting>
  <conditionalFormatting sqref="CC78 BZ78 BW78 BT78 BQ78 BN78 BK78 BH78 BE78 BB78">
    <cfRule type="cellIs" dxfId="256" priority="236" stopIfTrue="1" operator="equal">
      <formula>"Pending"</formula>
    </cfRule>
  </conditionalFormatting>
  <conditionalFormatting sqref="AZ80 BC80 BF80 BI80 BL80 BO80 BR80 BU80 BX80 CA80">
    <cfRule type="expression" dxfId="255" priority="229" stopIfTrue="1">
      <formula>AZ$1=TODAY()+DailyScrumDateModifier</formula>
    </cfRule>
  </conditionalFormatting>
  <conditionalFormatting sqref="BA80 BD80 BG80 BJ80 BM80 BP80 BS80 BV80 BY80 CB80">
    <cfRule type="expression" dxfId="254" priority="230" stopIfTrue="1">
      <formula>AZ$1=TODAY()+DailyScrumDateModifier</formula>
    </cfRule>
  </conditionalFormatting>
  <conditionalFormatting sqref="H80 CE80">
    <cfRule type="expression" dxfId="253" priority="231" stopIfTrue="1">
      <formula>MOD(ROW(),2)</formula>
    </cfRule>
  </conditionalFormatting>
  <conditionalFormatting sqref="BB80 BE80 BH80 BK80 BN80 BQ80 BT80 BW80 BZ80 CC80">
    <cfRule type="cellIs" dxfId="252" priority="232" stopIfTrue="1" operator="equal">
      <formula>"Pending"</formula>
    </cfRule>
  </conditionalFormatting>
  <conditionalFormatting sqref="CA82 BX82 BU82 BR82 BO82 BL82 BI82 BF82 BC82 AZ82">
    <cfRule type="expression" dxfId="251" priority="225" stopIfTrue="1">
      <formula>AZ$1=TODAY()+DailyScrumDateModifier</formula>
    </cfRule>
  </conditionalFormatting>
  <conditionalFormatting sqref="CB82 BY82 BV82 BS82 BP82 BM82 BJ82 BG82 BD82 BA82">
    <cfRule type="expression" dxfId="250" priority="226" stopIfTrue="1">
      <formula>AZ$1=TODAY()+DailyScrumDateModifier</formula>
    </cfRule>
  </conditionalFormatting>
  <conditionalFormatting sqref="CE82 H82">
    <cfRule type="expression" dxfId="249" priority="227" stopIfTrue="1">
      <formula>MOD(ROW(),2)</formula>
    </cfRule>
  </conditionalFormatting>
  <conditionalFormatting sqref="CC82 BZ82 BW82 BT82 BQ82 BN82 BK82 BH82 BE82 BB82">
    <cfRule type="cellIs" dxfId="248" priority="228" stopIfTrue="1" operator="equal">
      <formula>"Pending"</formula>
    </cfRule>
  </conditionalFormatting>
  <conditionalFormatting sqref="AZ70 BC70 BF70 BI70 BL70 BO70 BR70 BU70 BX70 CA70">
    <cfRule type="expression" dxfId="247" priority="217" stopIfTrue="1">
      <formula>AZ$1=TODAY()+DailyScrumDateModifier</formula>
    </cfRule>
    <cfRule type="expression" dxfId="246" priority="223" stopIfTrue="1">
      <formula>MOD(ROW(),2)</formula>
    </cfRule>
  </conditionalFormatting>
  <conditionalFormatting sqref="BA70 BD70 BG70 BJ70 BM70 BP70 BS70 BV70 BY70 CB70">
    <cfRule type="expression" dxfId="245" priority="218" stopIfTrue="1">
      <formula>AZ$1=TODAY()+DailyScrumDateModifier</formula>
    </cfRule>
    <cfRule type="expression" dxfId="244" priority="222" stopIfTrue="1">
      <formula>MOD(ROW(),2)</formula>
    </cfRule>
  </conditionalFormatting>
  <conditionalFormatting sqref="H70 CE70">
    <cfRule type="expression" dxfId="243" priority="219" stopIfTrue="1">
      <formula>MOD(ROW(),2)</formula>
    </cfRule>
  </conditionalFormatting>
  <conditionalFormatting sqref="BB70 BE70 BH70 BK70 BN70 BQ70 BT70 BW70 BZ70 CC70">
    <cfRule type="cellIs" dxfId="242" priority="220" stopIfTrue="1" operator="equal">
      <formula>"In Progress"</formula>
    </cfRule>
    <cfRule type="cellIs" dxfId="241" priority="221" stopIfTrue="1" operator="equal">
      <formula>"Complete"</formula>
    </cfRule>
  </conditionalFormatting>
  <conditionalFormatting sqref="AZ75 BC75 BF75 BI75 BL75 BO75 BR75 BU75 BX75 CA75">
    <cfRule type="expression" dxfId="240" priority="210" stopIfTrue="1">
      <formula>AZ$1=TODAY()+DailyScrumDateModifier</formula>
    </cfRule>
    <cfRule type="expression" dxfId="239" priority="216" stopIfTrue="1">
      <formula>MOD(ROW(),2)</formula>
    </cfRule>
  </conditionalFormatting>
  <conditionalFormatting sqref="BA75 BD75 BG75 BJ75 BM75 BP75 BS75 BV75 BY75 CB75">
    <cfRule type="expression" dxfId="238" priority="211" stopIfTrue="1">
      <formula>AZ$1=TODAY()+DailyScrumDateModifier</formula>
    </cfRule>
    <cfRule type="expression" dxfId="237" priority="215" stopIfTrue="1">
      <formula>MOD(ROW(),2)</formula>
    </cfRule>
  </conditionalFormatting>
  <conditionalFormatting sqref="H75 CE75">
    <cfRule type="expression" dxfId="236" priority="212" stopIfTrue="1">
      <formula>MOD(ROW(),2)</formula>
    </cfRule>
  </conditionalFormatting>
  <conditionalFormatting sqref="BB75 BE75 BH75 BK75 BN75 BQ75 BT75 BW75 BZ75 CC75">
    <cfRule type="cellIs" dxfId="235" priority="213" stopIfTrue="1" operator="equal">
      <formula>"In Progress"</formula>
    </cfRule>
    <cfRule type="cellIs" dxfId="234" priority="214" stopIfTrue="1" operator="equal">
      <formula>"Complete"</formula>
    </cfRule>
  </conditionalFormatting>
  <conditionalFormatting sqref="CA4 BX4 BU4 BR4 BO4 BL4 BI4 BF4 BC4 AZ4">
    <cfRule type="expression" dxfId="233" priority="206" stopIfTrue="1">
      <formula>AZ$1=TODAY()+DailyScrumDateModifier</formula>
    </cfRule>
  </conditionalFormatting>
  <conditionalFormatting sqref="CB4 BY4 BV4 BS4 BP4 BM4 BJ4 BG4 BD4 BA4">
    <cfRule type="expression" dxfId="232" priority="207" stopIfTrue="1">
      <formula>AZ$1=TODAY()+DailyScrumDateModifier</formula>
    </cfRule>
  </conditionalFormatting>
  <conditionalFormatting sqref="CE4 H5:H12 I5:I198 H4:AY4 S5:AY198">
    <cfRule type="expression" dxfId="231" priority="208" stopIfTrue="1">
      <formula>MOD(ROW(),2)</formula>
    </cfRule>
  </conditionalFormatting>
  <conditionalFormatting sqref="CC4 BZ4 BW4 BT4 BQ4 BN4 BK4 BH4 BE4 BB4">
    <cfRule type="cellIs" dxfId="230" priority="209" stopIfTrue="1" operator="equal">
      <formula>"Pending"</formula>
    </cfRule>
  </conditionalFormatting>
  <conditionalFormatting sqref="CA84:CA86 BX84:BX86 BU84:BU86 BR84:BR86 BO84:BO86 BL84:BL86 BI84:BI86 BF84:BF86 BC84:BC86 AZ84:AZ86 AZ88 BC88 BF88 BI88 BL88 BO88 BR88 BU88 BX88 CA88 CA90:CA93 BX90:BX93 BU90:BU93 BR90:BR93 BO90:BO93 BL90:BL93 BI90:BI93 BF90:BF93 BC90:BC93 AZ90:AZ93 AZ95 BC95 BF95 BI95 BL95 BO95 BR95 BU95 BX95 CA95 CA97 BX97 BU97 BR97 BO97 BL97 BI97 BF97 BC97 AZ97 AZ99 BC99 BF99 BI99 BL99 BO99 BR99 BU99 BX99 CA99 CA101 BX101 BU101 BR101 BO101 BL101 BI101 BF101 BC101 AZ101 CA103:CA104 BX103:BX104 BU103:BU104 BR103:BR104 BO103:BO104 BL103:BL104 BI103:BI104 BF103:BF104 BC103:BC104 AZ103:AZ104 AZ106 BC106 BF106 BI106 BL106 BO106 BR106 BU106 BX106 CA106 CA108:CA110 BX108:BX110 BU108:BU110 BR108:BR110 BO108:BO110 BL108:BL110 BI108:BI110 BF108:BF110 BC108:BC110 AZ108:AZ110 AZ112 BC112 BF112 BI112 BL112 BO112 BR112 BU112 BX112 CA112 CA114:CA117 BX114:BX117 BU114:BU117 BR114:BR117 BO114:BO117 BL114:BL117 BI114:BI117 BF114:BF117 BC114:BC117 AZ114:AZ117 AZ119 BC119 BF119 BI119 BL119 BO119 BR119 BU119 BX119 CA119 CA121:CA123 BX121:BX123 BU121:BU123 BR121:BR123 BO121:BO123 BL121:BL123 BI121:BI123 BF121:BF123 BC121:BC123 AZ121:AZ123 AZ125:AZ126 BC125:BC126 BF125:BF126 BI125:BI126 BL125:BL126 BO125:BO126 BR125:BR126 BU125:BU126 BX125:BX126 CA125:CA126 CA128:CA129 BX128:BX129 BU128:BU129 BR128:BR129 BO128:BO129 BL128:BL129 BI128:BI129 BF128:BF129 BC128:BC129 AZ128:AZ129 AZ131:AZ132 BC131:BC132 BF131:BF132 BI131:BI132 BL131:BL132 BO131:BO132 BR131:BR132 BU131:BU132 BX131:BX132 CA131:CA132 CA134 BX134 BU134 BR134 BO134 BL134 BI134 BF134 BC134 AZ134 AZ136 BC136 BF136 BI136 BL136 BO136 BR136 BU136 BX136 CA136 CA138 BX138 BU138 BR138 BO138 BL138 BI138 BF138 BC138 AZ138 AZ140 BC140 BF140 BI140 BL140 BO140 BR140 BU140 BX140 CA140 CA142 BX142 BU142 BR142 BO142 BL142 BI142 BF142 BC142 AZ142 AZ144 BC144 BF144 BI144 BL144 BO144 BR144 BU144 BX144 CA144 CA146 BX146 BU146 BR146 BO146 BL146 BI146 BF146 BC146 AZ146 AZ151 BC151 BF151 BI151 BL151 BO151 BR151 BU151 BX151 CA151 CA153:CA154 BX153:BX154 BU153:BU154 BR153:BR154 BO153:BO154 BL153:BL154 BI153:BI154 BF153:BF154 BC153:BC154 AZ153:AZ154 AZ157 BC157 BF157 BI157 BL157 BO157 BR157 BU157 BX157 CA157 CA159 BX159 BU159 BR159 BO159 BL159 BI159 BF159 BC159 AZ159 AZ161 BC161 BF161 BI161 BL161 BO161 BR161 BU161 BX161 CA161">
    <cfRule type="expression" dxfId="229" priority="202" stopIfTrue="1">
      <formula>AZ$1=TODAY()+DailyScrumDateModifier</formula>
    </cfRule>
  </conditionalFormatting>
  <conditionalFormatting sqref="CB84:CB86 BY84:BY86 BV84:BV86 BS84:BS86 BP84:BP86 BM84:BM86 BJ84:BJ86 BG84:BG86 BD84:BD86 BA84:BA86 BA88 BD88 BG88 BJ88 BM88 BP88 BS88 BV88 BY88 CB88 CB90:CB93 BY90:BY93 BV90:BV93 BS90:BS93 BP90:BP93 BM90:BM93 BJ90:BJ93 BG90:BG93 BD90:BD93 BA90:BA93 BA95 BD95 BG95 BJ95 BM95 BP95 BS95 BV95 BY95 CB95 CB97 BY97 BV97 BS97 BP97 BM97 BJ97 BG97 BD97 BA97 BA99 BD99 BG99 BJ99 BM99 BP99 BS99 BV99 BY99 CB99 CB101 BY101 BV101 BS101 BP101 BM101 BJ101 BG101 BD101 BA101 CB103:CB104 BY103:BY104 BV103:BV104 BS103:BS104 BP103:BP104 BM103:BM104 BJ103:BJ104 BG103:BG104 BD103:BD104 BA103:BA104 BA106 BD106 BG106 BJ106 BM106 BP106 BS106 BV106 BY106 CB106 CB108:CB110 BY108:BY110 BV108:BV110 BS108:BS110 BP108:BP110 BM108:BM110 BJ108:BJ110 BG108:BG110 BD108:BD110 BA108:BA110 BA112 BD112 BG112 BJ112 BM112 BP112 BS112 BV112 BY112 CB112 CB114:CB117 BY114:BY117 BV114:BV117 BS114:BS117 BP114:BP117 BM114:BM117 BJ114:BJ117 BG114:BG117 BD114:BD117 BA114:BA117 BA119 BD119 BG119 BJ119 BM119 BP119 BS119 BV119 BY119 CB119 CB121:CB123 BY121:BY123 BV121:BV123 BS121:BS123 BP121:BP123 BM121:BM123 BJ121:BJ123 BG121:BG123 BD121:BD123 BA121:BA123 BA125:BA126 BD125:BD126 BG125:BG126 BJ125:BJ126 BM125:BM126 BP125:BP126 BS125:BS126 BV125:BV126 BY125:BY126 CB125:CB126 CB128:CB129 BY128:BY129 BV128:BV129 BS128:BS129 BP128:BP129 BM128:BM129 BJ128:BJ129 BG128:BG129 BD128:BD129 BA128:BA129 BA131:BA132 BD131:BD132 BG131:BG132 BJ131:BJ132 BM131:BM132 BP131:BP132 BS131:BS132 BV131:BV132 BY131:BY132 CB131:CB132 CB134 BY134 BV134 BS134 BP134 BM134 BJ134 BG134 BD134 BA134 BA136 BD136 BG136 BJ136 BM136 BP136 BS136 BV136 BY136 CB136 CB138 BY138 BV138 BS138 BP138 BM138 BJ138 BG138 BD138 BA138 BA140 BD140 BG140 BJ140 BM140 BP140 BS140 BV140 BY140 CB140 CB142 BY142 BV142 BS142 BP142 BM142 BJ142 BG142 BD142 BA142 BA144 BD144 BG144 BJ144 BM144 BP144 BS144 BV144 BY144 CB144 CB146 BY146 BV146 BS146 BP146 BM146 BJ146 BG146 BD146 BA146 BA151 BD151 BG151 BJ151 BM151 BP151 BS151 BV151 BY151 CB151 CB153:CB154 BY153:BY154 BV153:BV154 BS153:BS154 BP153:BP154 BM153:BM154 BJ153:BJ154 BG153:BG154 BD153:BD154 BA153:BA154 BA157 BD157 BG157 BJ157 BM157 BP157 BS157 BV157 BY157 CB157 CB159 BY159 BV159 BS159 BP159 BM159 BJ159 BG159 BD159 BA159 BA161 BD161 BG161 BJ161 BM161 BP161 BS161 BV161 BY161 CB161">
    <cfRule type="expression" dxfId="228" priority="203" stopIfTrue="1">
      <formula>AZ$1=TODAY()+DailyScrumDateModifier</formula>
    </cfRule>
  </conditionalFormatting>
  <conditionalFormatting sqref="CE84:CE86 H84:H86 H88 CE88 CE90:CE93 H90:H93 H95 CE95 CE97 H97 H99 CE99 CE101 H101 CE103:CE104 H103:H104 H106 CE106 CE108:CE110 H108:H110 H112 CE112 CE114:CE117 H114:H117 H119 CE119 CE121:CE123 H121:H123 H125:H126 CE125:CE126 CE128:CE129 H128:H129 H131:H132 CE131:CE132 CE134 H134 H136 CE136 CE138 H138 H140 CE140 CE142 H142 H144 CE144 CE146 H146 H151 CE151 CE153:CE154 H153:H154 H157 CE157 CE159 H159 H161 CE161">
    <cfRule type="expression" dxfId="227" priority="204" stopIfTrue="1">
      <formula>MOD(ROW(),2)</formula>
    </cfRule>
  </conditionalFormatting>
  <conditionalFormatting sqref="CC84:CC86 BZ84:BZ86 BW84:BW86 BT84:BT86 BQ84:BQ86 BN84:BN86 BK84:BK86 BH84:BH86 BE84:BE86 BB84:BB86 BB88 BE88 BH88 BK88 BN88 BQ88 BT88 BW88 BZ88 CC88 CC90:CC93 BZ90:BZ93 BW90:BW93 BT90:BT93 BQ90:BQ93 BN90:BN93 BK90:BK93 BH90:BH93 BE90:BE93 BB90:BB93 BB95 BE95 BH95 BK95 BN95 BQ95 BT95 BW95 BZ95 CC95 CC97 BZ97 BW97 BT97 BQ97 BN97 BK97 BH97 BE97 BB97 BB99 BE99 BH99 BK99 BN99 BQ99 BT99 BW99 BZ99 CC99 CC101 BZ101 BW101 BT101 BQ101 BN101 BK101 BH101 BE101 BB101 CC103:CC104 BZ103:BZ104 BW103:BW104 BT103:BT104 BQ103:BQ104 BN103:BN104 BK103:BK104 BH103:BH104 BE103:BE104 BB103:BB104 BB106 BE106 BH106 BK106 BN106 BQ106 BT106 BW106 BZ106 CC106 CC108:CC110 BZ108:BZ110 BW108:BW110 BT108:BT110 BQ108:BQ110 BN108:BN110 BK108:BK110 BH108:BH110 BE108:BE110 BB108:BB110 BB112 BE112 BH112 BK112 BN112 BQ112 BT112 BW112 BZ112 CC112 CC114:CC117 BZ114:BZ117 BW114:BW117 BT114:BT117 BQ114:BQ117 BN114:BN117 BK114:BK117 BH114:BH117 BE114:BE117 BB114:BB117 BB119 BE119 BH119 BK119 BN119 BQ119 BT119 BW119 BZ119 CC119 CC121:CC123 BZ121:BZ123 BW121:BW123 BT121:BT123 BQ121:BQ123 BN121:BN123 BK121:BK123 BH121:BH123 BE121:BE123 BB121:BB123 BB125:BB126 BE125:BE126 BH125:BH126 BK125:BK126 BN125:BN126 BQ125:BQ126 BT125:BT126 BW125:BW126 BZ125:BZ126 CC125:CC126 CC128:CC129 BZ128:BZ129 BW128:BW129 BT128:BT129 BQ128:BQ129 BN128:BN129 BK128:BK129 BH128:BH129 BE128:BE129 BB128:BB129 BB131:BB132 BE131:BE132 BH131:BH132 BK131:BK132 BN131:BN132 BQ131:BQ132 BT131:BT132 BW131:BW132 BZ131:BZ132 CC131:CC132 CC134 BZ134 BW134 BT134 BQ134 BN134 BK134 BH134 BE134 BB134 BB136 BE136 BH136 BK136 BN136 BQ136 BT136 BW136 BZ136 CC136 CC138 BZ138 BW138 BT138 BQ138 BN138 BK138 BH138 BE138 BB138 BB140 BE140 BH140 BK140 BN140 BQ140 BT140 BW140 BZ140 CC140 CC142 BZ142 BW142 BT142 BQ142 BN142 BK142 BH142 BE142 BB142 BB144 BE144 BH144 BK144 BN144 BQ144 BT144 BW144 BZ144 CC144 CC146 BZ146 BW146 BT146 BQ146 BN146 BK146 BH146 BE146 BB146 BB151 BE151 BH151 BK151 BN151 BQ151 BT151 BW151 BZ151 CC151 CC153:CC154 BZ153:BZ154 BW153:BW154 BT153:BT154 BQ153:BQ154 BN153:BN154 BK153:BK154 BH153:BH154 BE153:BE154 BB153:BB154 BB157 BE157 BH157 BK157 BN157 BQ157 BT157 BW157 BZ157 CC157 CC159 BZ159 BW159 BT159 BQ159 BN159 BK159 BH159 BE159 BB159 BB161 BE161 BH161 BK161 BN161 BQ161 BT161 BW161 BZ161 CC161">
    <cfRule type="cellIs" dxfId="226" priority="205" stopIfTrue="1" operator="equal">
      <formula>"Pending"</formula>
    </cfRule>
  </conditionalFormatting>
  <conditionalFormatting sqref="AZ87 BC87 BF87 BI87 BL87 BO87 BR87 BU87 BX87 CA87">
    <cfRule type="expression" dxfId="225" priority="198" stopIfTrue="1">
      <formula>AZ$1=TODAY()+DailyScrumDateModifier</formula>
    </cfRule>
  </conditionalFormatting>
  <conditionalFormatting sqref="BA87 BD87 BG87 BJ87 BM87 BP87 BS87 BV87 BY87 CB87">
    <cfRule type="expression" dxfId="224" priority="199" stopIfTrue="1">
      <formula>AZ$1=TODAY()+DailyScrumDateModifier</formula>
    </cfRule>
  </conditionalFormatting>
  <conditionalFormatting sqref="H87 CE87">
    <cfRule type="expression" dxfId="223" priority="200" stopIfTrue="1">
      <formula>MOD(ROW(),2)</formula>
    </cfRule>
  </conditionalFormatting>
  <conditionalFormatting sqref="BB87 BE87 BH87 BK87 BN87 BQ87 BT87 BW87 BZ87 CC87">
    <cfRule type="cellIs" dxfId="222" priority="201" stopIfTrue="1" operator="equal">
      <formula>"Pending"</formula>
    </cfRule>
  </conditionalFormatting>
  <conditionalFormatting sqref="CA89 BX89 BU89 BR89 BO89 BL89 BI89 BF89 BC89 AZ89">
    <cfRule type="expression" dxfId="221" priority="194" stopIfTrue="1">
      <formula>AZ$1=TODAY()+DailyScrumDateModifier</formula>
    </cfRule>
  </conditionalFormatting>
  <conditionalFormatting sqref="CB89 BY89 BV89 BS89 BP89 BM89 BJ89 BG89 BD89 BA89">
    <cfRule type="expression" dxfId="220" priority="195" stopIfTrue="1">
      <formula>AZ$1=TODAY()+DailyScrumDateModifier</formula>
    </cfRule>
  </conditionalFormatting>
  <conditionalFormatting sqref="CE89 H89">
    <cfRule type="expression" dxfId="219" priority="196" stopIfTrue="1">
      <formula>MOD(ROW(),2)</formula>
    </cfRule>
  </conditionalFormatting>
  <conditionalFormatting sqref="CC89 BZ89 BW89 BT89 BQ89 BN89 BK89 BH89 BE89 BB89">
    <cfRule type="cellIs" dxfId="218" priority="197" stopIfTrue="1" operator="equal">
      <formula>"Pending"</formula>
    </cfRule>
  </conditionalFormatting>
  <conditionalFormatting sqref="AZ94 BC94 BF94 BI94 BL94 BO94 BR94 BU94 BX94 CA94">
    <cfRule type="expression" dxfId="217" priority="190" stopIfTrue="1">
      <formula>AZ$1=TODAY()+DailyScrumDateModifier</formula>
    </cfRule>
  </conditionalFormatting>
  <conditionalFormatting sqref="BA94 BD94 BG94 BJ94 BM94 BP94 BS94 BV94 BY94 CB94">
    <cfRule type="expression" dxfId="216" priority="191" stopIfTrue="1">
      <formula>AZ$1=TODAY()+DailyScrumDateModifier</formula>
    </cfRule>
  </conditionalFormatting>
  <conditionalFormatting sqref="H94 CE94">
    <cfRule type="expression" dxfId="215" priority="192" stopIfTrue="1">
      <formula>MOD(ROW(),2)</formula>
    </cfRule>
  </conditionalFormatting>
  <conditionalFormatting sqref="BB94 BE94 BH94 BK94 BN94 BQ94 BT94 BW94 BZ94 CC94">
    <cfRule type="cellIs" dxfId="214" priority="193" stopIfTrue="1" operator="equal">
      <formula>"Pending"</formula>
    </cfRule>
  </conditionalFormatting>
  <conditionalFormatting sqref="CA96 BX96 BU96 BR96 BO96 BL96 BI96 BF96 BC96 AZ96">
    <cfRule type="expression" dxfId="213" priority="186" stopIfTrue="1">
      <formula>AZ$1=TODAY()+DailyScrumDateModifier</formula>
    </cfRule>
  </conditionalFormatting>
  <conditionalFormatting sqref="CB96 BY96 BV96 BS96 BP96 BM96 BJ96 BG96 BD96 BA96">
    <cfRule type="expression" dxfId="212" priority="187" stopIfTrue="1">
      <formula>AZ$1=TODAY()+DailyScrumDateModifier</formula>
    </cfRule>
  </conditionalFormatting>
  <conditionalFormatting sqref="CE96 H96">
    <cfRule type="expression" dxfId="211" priority="188" stopIfTrue="1">
      <formula>MOD(ROW(),2)</formula>
    </cfRule>
  </conditionalFormatting>
  <conditionalFormatting sqref="CC96 BZ96 BW96 BT96 BQ96 BN96 BK96 BH96 BE96 BB96">
    <cfRule type="cellIs" dxfId="210" priority="189" stopIfTrue="1" operator="equal">
      <formula>"Pending"</formula>
    </cfRule>
  </conditionalFormatting>
  <conditionalFormatting sqref="AZ98 BC98 BF98 BI98 BL98 BO98 BR98 BU98 BX98 CA98">
    <cfRule type="expression" dxfId="209" priority="182" stopIfTrue="1">
      <formula>AZ$1=TODAY()+DailyScrumDateModifier</formula>
    </cfRule>
  </conditionalFormatting>
  <conditionalFormatting sqref="BA98 BD98 BG98 BJ98 BM98 BP98 BS98 BV98 BY98 CB98">
    <cfRule type="expression" dxfId="208" priority="183" stopIfTrue="1">
      <formula>AZ$1=TODAY()+DailyScrumDateModifier</formula>
    </cfRule>
  </conditionalFormatting>
  <conditionalFormatting sqref="H98 CE98">
    <cfRule type="expression" dxfId="207" priority="184" stopIfTrue="1">
      <formula>MOD(ROW(),2)</formula>
    </cfRule>
  </conditionalFormatting>
  <conditionalFormatting sqref="BB98 BE98 BH98 BK98 BN98 BQ98 BT98 BW98 BZ98 CC98">
    <cfRule type="cellIs" dxfId="206" priority="185" stopIfTrue="1" operator="equal">
      <formula>"Pending"</formula>
    </cfRule>
  </conditionalFormatting>
  <conditionalFormatting sqref="CA100 BX100 BU100 BR100 BO100 BL100 BI100 BF100 BC100 AZ100">
    <cfRule type="expression" dxfId="205" priority="178" stopIfTrue="1">
      <formula>AZ$1=TODAY()+DailyScrumDateModifier</formula>
    </cfRule>
  </conditionalFormatting>
  <conditionalFormatting sqref="CB100 BY100 BV100 BS100 BP100 BM100 BJ100 BG100 BD100 BA100">
    <cfRule type="expression" dxfId="204" priority="179" stopIfTrue="1">
      <formula>AZ$1=TODAY()+DailyScrumDateModifier</formula>
    </cfRule>
  </conditionalFormatting>
  <conditionalFormatting sqref="CE100 H100">
    <cfRule type="expression" dxfId="203" priority="180" stopIfTrue="1">
      <formula>MOD(ROW(),2)</formula>
    </cfRule>
  </conditionalFormatting>
  <conditionalFormatting sqref="CC100 BZ100 BW100 BT100 BQ100 BN100 BK100 BH100 BE100 BB100">
    <cfRule type="cellIs" dxfId="202" priority="181" stopIfTrue="1" operator="equal">
      <formula>"Pending"</formula>
    </cfRule>
  </conditionalFormatting>
  <conditionalFormatting sqref="AZ102 BC102 BF102 BI102 BL102 BO102 BR102 BU102 BX102 CA102">
    <cfRule type="expression" dxfId="201" priority="174" stopIfTrue="1">
      <formula>AZ$1=TODAY()+DailyScrumDateModifier</formula>
    </cfRule>
  </conditionalFormatting>
  <conditionalFormatting sqref="BA102 BD102 BG102 BJ102 BM102 BP102 BS102 BV102 BY102 CB102">
    <cfRule type="expression" dxfId="200" priority="175" stopIfTrue="1">
      <formula>AZ$1=TODAY()+DailyScrumDateModifier</formula>
    </cfRule>
  </conditionalFormatting>
  <conditionalFormatting sqref="H102 CE102">
    <cfRule type="expression" dxfId="199" priority="176" stopIfTrue="1">
      <formula>MOD(ROW(),2)</formula>
    </cfRule>
  </conditionalFormatting>
  <conditionalFormatting sqref="BB102 BE102 BH102 BK102 BN102 BQ102 BT102 BW102 BZ102 CC102">
    <cfRule type="cellIs" dxfId="198" priority="177" stopIfTrue="1" operator="equal">
      <formula>"Pending"</formula>
    </cfRule>
  </conditionalFormatting>
  <conditionalFormatting sqref="AZ105 BC105 BF105 BI105 BL105 BO105 BR105 BU105 BX105 CA105">
    <cfRule type="expression" dxfId="197" priority="170" stopIfTrue="1">
      <formula>AZ$1=TODAY()+DailyScrumDateModifier</formula>
    </cfRule>
  </conditionalFormatting>
  <conditionalFormatting sqref="BA105 BD105 BG105 BJ105 BM105 BP105 BS105 BV105 BY105 CB105">
    <cfRule type="expression" dxfId="196" priority="171" stopIfTrue="1">
      <formula>AZ$1=TODAY()+DailyScrumDateModifier</formula>
    </cfRule>
  </conditionalFormatting>
  <conditionalFormatting sqref="H105 CE105">
    <cfRule type="expression" dxfId="195" priority="172" stopIfTrue="1">
      <formula>MOD(ROW(),2)</formula>
    </cfRule>
  </conditionalFormatting>
  <conditionalFormatting sqref="BB105 BE105 BH105 BK105 BN105 BQ105 BT105 BW105 BZ105 CC105">
    <cfRule type="cellIs" dxfId="194" priority="173" stopIfTrue="1" operator="equal">
      <formula>"Pending"</formula>
    </cfRule>
  </conditionalFormatting>
  <conditionalFormatting sqref="CA107 BX107 BU107 BR107 BO107 BL107 BI107 BF107 BC107 AZ107">
    <cfRule type="expression" dxfId="193" priority="166" stopIfTrue="1">
      <formula>AZ$1=TODAY()+DailyScrumDateModifier</formula>
    </cfRule>
  </conditionalFormatting>
  <conditionalFormatting sqref="CB107 BY107 BV107 BS107 BP107 BM107 BJ107 BG107 BD107 BA107">
    <cfRule type="expression" dxfId="192" priority="167" stopIfTrue="1">
      <formula>AZ$1=TODAY()+DailyScrumDateModifier</formula>
    </cfRule>
  </conditionalFormatting>
  <conditionalFormatting sqref="CE107 H107">
    <cfRule type="expression" dxfId="191" priority="168" stopIfTrue="1">
      <formula>MOD(ROW(),2)</formula>
    </cfRule>
  </conditionalFormatting>
  <conditionalFormatting sqref="CC107 BZ107 BW107 BT107 BQ107 BN107 BK107 BH107 BE107 BB107">
    <cfRule type="cellIs" dxfId="190" priority="169" stopIfTrue="1" operator="equal">
      <formula>"Pending"</formula>
    </cfRule>
  </conditionalFormatting>
  <conditionalFormatting sqref="AZ111 BC111 BF111 BI111 BL111 BO111 BR111 BU111 BX111 CA111">
    <cfRule type="expression" dxfId="189" priority="162" stopIfTrue="1">
      <formula>AZ$1=TODAY()+DailyScrumDateModifier</formula>
    </cfRule>
  </conditionalFormatting>
  <conditionalFormatting sqref="BA111 BD111 BG111 BJ111 BM111 BP111 BS111 BV111 BY111 CB111">
    <cfRule type="expression" dxfId="188" priority="163" stopIfTrue="1">
      <formula>AZ$1=TODAY()+DailyScrumDateModifier</formula>
    </cfRule>
  </conditionalFormatting>
  <conditionalFormatting sqref="H111 CE111">
    <cfRule type="expression" dxfId="187" priority="164" stopIfTrue="1">
      <formula>MOD(ROW(),2)</formula>
    </cfRule>
  </conditionalFormatting>
  <conditionalFormatting sqref="BB111 BE111 BH111 BK111 BN111 BQ111 BT111 BW111 BZ111 CC111">
    <cfRule type="cellIs" dxfId="186" priority="165" stopIfTrue="1" operator="equal">
      <formula>"Pending"</formula>
    </cfRule>
  </conditionalFormatting>
  <conditionalFormatting sqref="CA113 BX113 BU113 BR113 BO113 BL113 BI113 BF113 BC113 AZ113">
    <cfRule type="expression" dxfId="185" priority="158" stopIfTrue="1">
      <formula>AZ$1=TODAY()+DailyScrumDateModifier</formula>
    </cfRule>
  </conditionalFormatting>
  <conditionalFormatting sqref="CB113 BY113 BV113 BS113 BP113 BM113 BJ113 BG113 BD113 BA113">
    <cfRule type="expression" dxfId="184" priority="159" stopIfTrue="1">
      <formula>AZ$1=TODAY()+DailyScrumDateModifier</formula>
    </cfRule>
  </conditionalFormatting>
  <conditionalFormatting sqref="CE113 H113">
    <cfRule type="expression" dxfId="183" priority="160" stopIfTrue="1">
      <formula>MOD(ROW(),2)</formula>
    </cfRule>
  </conditionalFormatting>
  <conditionalFormatting sqref="CC113 BZ113 BW113 BT113 BQ113 BN113 BK113 BH113 BE113 BB113">
    <cfRule type="cellIs" dxfId="182" priority="161" stopIfTrue="1" operator="equal">
      <formula>"Pending"</formula>
    </cfRule>
  </conditionalFormatting>
  <conditionalFormatting sqref="AZ118 BC118 BF118 BI118 BL118 BO118 BR118 BU118 BX118 CA118">
    <cfRule type="expression" dxfId="181" priority="154" stopIfTrue="1">
      <formula>AZ$1=TODAY()+DailyScrumDateModifier</formula>
    </cfRule>
  </conditionalFormatting>
  <conditionalFormatting sqref="BA118 BD118 BG118 BJ118 BM118 BP118 BS118 BV118 BY118 CB118">
    <cfRule type="expression" dxfId="180" priority="155" stopIfTrue="1">
      <formula>AZ$1=TODAY()+DailyScrumDateModifier</formula>
    </cfRule>
  </conditionalFormatting>
  <conditionalFormatting sqref="H118 CE118">
    <cfRule type="expression" dxfId="179" priority="156" stopIfTrue="1">
      <formula>MOD(ROW(),2)</formula>
    </cfRule>
  </conditionalFormatting>
  <conditionalFormatting sqref="BB118 BE118 BH118 BK118 BN118 BQ118 BT118 BW118 BZ118 CC118">
    <cfRule type="cellIs" dxfId="178" priority="157" stopIfTrue="1" operator="equal">
      <formula>"Pending"</formula>
    </cfRule>
  </conditionalFormatting>
  <conditionalFormatting sqref="CA120 BX120 BU120 BR120 BO120 BL120 BI120 BF120 BC120 AZ120">
    <cfRule type="expression" dxfId="177" priority="150" stopIfTrue="1">
      <formula>AZ$1=TODAY()+DailyScrumDateModifier</formula>
    </cfRule>
  </conditionalFormatting>
  <conditionalFormatting sqref="CB120 BY120 BV120 BS120 BP120 BM120 BJ120 BG120 BD120 BA120">
    <cfRule type="expression" dxfId="176" priority="151" stopIfTrue="1">
      <formula>AZ$1=TODAY()+DailyScrumDateModifier</formula>
    </cfRule>
  </conditionalFormatting>
  <conditionalFormatting sqref="CE120 H120">
    <cfRule type="expression" dxfId="175" priority="152" stopIfTrue="1">
      <formula>MOD(ROW(),2)</formula>
    </cfRule>
  </conditionalFormatting>
  <conditionalFormatting sqref="CC120 BZ120 BW120 BT120 BQ120 BN120 BK120 BH120 BE120 BB120">
    <cfRule type="cellIs" dxfId="174" priority="153" stopIfTrue="1" operator="equal">
      <formula>"Pending"</formula>
    </cfRule>
  </conditionalFormatting>
  <conditionalFormatting sqref="AZ124 BC124 BF124 BI124 BL124 BO124 BR124 BU124 BX124 CA124">
    <cfRule type="expression" dxfId="173" priority="146" stopIfTrue="1">
      <formula>AZ$1=TODAY()+DailyScrumDateModifier</formula>
    </cfRule>
  </conditionalFormatting>
  <conditionalFormatting sqref="BA124 BD124 BG124 BJ124 BM124 BP124 BS124 BV124 BY124 CB124">
    <cfRule type="expression" dxfId="172" priority="147" stopIfTrue="1">
      <formula>AZ$1=TODAY()+DailyScrumDateModifier</formula>
    </cfRule>
  </conditionalFormatting>
  <conditionalFormatting sqref="H124 CE124">
    <cfRule type="expression" dxfId="171" priority="148" stopIfTrue="1">
      <formula>MOD(ROW(),2)</formula>
    </cfRule>
  </conditionalFormatting>
  <conditionalFormatting sqref="BB124 BE124 BH124 BK124 BN124 BQ124 BT124 BW124 BZ124 CC124">
    <cfRule type="cellIs" dxfId="170" priority="149" stopIfTrue="1" operator="equal">
      <formula>"Pending"</formula>
    </cfRule>
  </conditionalFormatting>
  <conditionalFormatting sqref="CA127 BX127 BU127 BR127 BO127 BL127 BI127 BF127 BC127 AZ127">
    <cfRule type="expression" dxfId="169" priority="142" stopIfTrue="1">
      <formula>AZ$1=TODAY()+DailyScrumDateModifier</formula>
    </cfRule>
  </conditionalFormatting>
  <conditionalFormatting sqref="CB127 BY127 BV127 BS127 BP127 BM127 BJ127 BG127 BD127 BA127">
    <cfRule type="expression" dxfId="168" priority="143" stopIfTrue="1">
      <formula>AZ$1=TODAY()+DailyScrumDateModifier</formula>
    </cfRule>
  </conditionalFormatting>
  <conditionalFormatting sqref="CE127 H127">
    <cfRule type="expression" dxfId="167" priority="144" stopIfTrue="1">
      <formula>MOD(ROW(),2)</formula>
    </cfRule>
  </conditionalFormatting>
  <conditionalFormatting sqref="CC127 BZ127 BW127 BT127 BQ127 BN127 BK127 BH127 BE127 BB127">
    <cfRule type="cellIs" dxfId="166" priority="145" stopIfTrue="1" operator="equal">
      <formula>"Pending"</formula>
    </cfRule>
  </conditionalFormatting>
  <conditionalFormatting sqref="AZ130 BC130 BF130 BI130 BL130 BO130 BR130 BU130 BX130 CA130">
    <cfRule type="expression" dxfId="165" priority="138" stopIfTrue="1">
      <formula>AZ$1=TODAY()+DailyScrumDateModifier</formula>
    </cfRule>
  </conditionalFormatting>
  <conditionalFormatting sqref="BA130 BD130 BG130 BJ130 BM130 BP130 BS130 BV130 BY130 CB130">
    <cfRule type="expression" dxfId="164" priority="139" stopIfTrue="1">
      <formula>AZ$1=TODAY()+DailyScrumDateModifier</formula>
    </cfRule>
  </conditionalFormatting>
  <conditionalFormatting sqref="H130 CE130">
    <cfRule type="expression" dxfId="163" priority="140" stopIfTrue="1">
      <formula>MOD(ROW(),2)</formula>
    </cfRule>
  </conditionalFormatting>
  <conditionalFormatting sqref="BB130 BE130 BH130 BK130 BN130 BQ130 BT130 BW130 BZ130 CC130">
    <cfRule type="cellIs" dxfId="162" priority="141" stopIfTrue="1" operator="equal">
      <formula>"Pending"</formula>
    </cfRule>
  </conditionalFormatting>
  <conditionalFormatting sqref="CA133 BX133 BU133 BR133 BO133 BL133 BI133 BF133 BC133 AZ133">
    <cfRule type="expression" dxfId="161" priority="134" stopIfTrue="1">
      <formula>AZ$1=TODAY()+DailyScrumDateModifier</formula>
    </cfRule>
  </conditionalFormatting>
  <conditionalFormatting sqref="CB133 BY133 BV133 BS133 BP133 BM133 BJ133 BG133 BD133 BA133">
    <cfRule type="expression" dxfId="160" priority="135" stopIfTrue="1">
      <formula>AZ$1=TODAY()+DailyScrumDateModifier</formula>
    </cfRule>
  </conditionalFormatting>
  <conditionalFormatting sqref="CE133 H133">
    <cfRule type="expression" dxfId="159" priority="136" stopIfTrue="1">
      <formula>MOD(ROW(),2)</formula>
    </cfRule>
  </conditionalFormatting>
  <conditionalFormatting sqref="CC133 BZ133 BW133 BT133 BQ133 BN133 BK133 BH133 BE133 BB133">
    <cfRule type="cellIs" dxfId="158" priority="137" stopIfTrue="1" operator="equal">
      <formula>"Pending"</formula>
    </cfRule>
  </conditionalFormatting>
  <conditionalFormatting sqref="AZ135 BC135 BF135 BI135 BL135 BO135 BR135 BU135 BX135 CA135">
    <cfRule type="expression" dxfId="157" priority="130" stopIfTrue="1">
      <formula>AZ$1=TODAY()+DailyScrumDateModifier</formula>
    </cfRule>
  </conditionalFormatting>
  <conditionalFormatting sqref="BA135 BD135 BG135 BJ135 BM135 BP135 BS135 BV135 BY135 CB135">
    <cfRule type="expression" dxfId="156" priority="131" stopIfTrue="1">
      <formula>AZ$1=TODAY()+DailyScrumDateModifier</formula>
    </cfRule>
  </conditionalFormatting>
  <conditionalFormatting sqref="H135 CE135">
    <cfRule type="expression" dxfId="155" priority="132" stopIfTrue="1">
      <formula>MOD(ROW(),2)</formula>
    </cfRule>
  </conditionalFormatting>
  <conditionalFormatting sqref="BB135 BE135 BH135 BK135 BN135 BQ135 BT135 BW135 BZ135 CC135">
    <cfRule type="cellIs" dxfId="154" priority="133" stopIfTrue="1" operator="equal">
      <formula>"Pending"</formula>
    </cfRule>
  </conditionalFormatting>
  <conditionalFormatting sqref="CA137 BX137 BU137 BR137 BO137 BL137 BI137 BF137 BC137 AZ137">
    <cfRule type="expression" dxfId="153" priority="126" stopIfTrue="1">
      <formula>AZ$1=TODAY()+DailyScrumDateModifier</formula>
    </cfRule>
  </conditionalFormatting>
  <conditionalFormatting sqref="CB137 BY137 BV137 BS137 BP137 BM137 BJ137 BG137 BD137 BA137">
    <cfRule type="expression" dxfId="152" priority="127" stopIfTrue="1">
      <formula>AZ$1=TODAY()+DailyScrumDateModifier</formula>
    </cfRule>
  </conditionalFormatting>
  <conditionalFormatting sqref="CE137 H137">
    <cfRule type="expression" dxfId="151" priority="128" stopIfTrue="1">
      <formula>MOD(ROW(),2)</formula>
    </cfRule>
  </conditionalFormatting>
  <conditionalFormatting sqref="CC137 BZ137 BW137 BT137 BQ137 BN137 BK137 BH137 BE137 BB137">
    <cfRule type="cellIs" dxfId="150" priority="129" stopIfTrue="1" operator="equal">
      <formula>"Pending"</formula>
    </cfRule>
  </conditionalFormatting>
  <conditionalFormatting sqref="AZ139 BC139 BF139 BI139 BL139 BO139 BR139 BU139 BX139 CA139">
    <cfRule type="expression" dxfId="149" priority="122" stopIfTrue="1">
      <formula>AZ$1=TODAY()+DailyScrumDateModifier</formula>
    </cfRule>
  </conditionalFormatting>
  <conditionalFormatting sqref="BA139 BD139 BG139 BJ139 BM139 BP139 BS139 BV139 BY139 CB139">
    <cfRule type="expression" dxfId="148" priority="123" stopIfTrue="1">
      <formula>AZ$1=TODAY()+DailyScrumDateModifier</formula>
    </cfRule>
  </conditionalFormatting>
  <conditionalFormatting sqref="H139 CE139">
    <cfRule type="expression" dxfId="147" priority="124" stopIfTrue="1">
      <formula>MOD(ROW(),2)</formula>
    </cfRule>
  </conditionalFormatting>
  <conditionalFormatting sqref="BB139 BE139 BH139 BK139 BN139 BQ139 BT139 BW139 BZ139 CC139">
    <cfRule type="cellIs" dxfId="146" priority="125" stopIfTrue="1" operator="equal">
      <formula>"Pending"</formula>
    </cfRule>
  </conditionalFormatting>
  <conditionalFormatting sqref="CA141 BX141 BU141 BR141 BO141 BL141 BI141 BF141 BC141 AZ141">
    <cfRule type="expression" dxfId="145" priority="118" stopIfTrue="1">
      <formula>AZ$1=TODAY()+DailyScrumDateModifier</formula>
    </cfRule>
  </conditionalFormatting>
  <conditionalFormatting sqref="CB141 BY141 BV141 BS141 BP141 BM141 BJ141 BG141 BD141 BA141">
    <cfRule type="expression" dxfId="144" priority="119" stopIfTrue="1">
      <formula>AZ$1=TODAY()+DailyScrumDateModifier</formula>
    </cfRule>
  </conditionalFormatting>
  <conditionalFormatting sqref="CE141 H141">
    <cfRule type="expression" dxfId="143" priority="120" stopIfTrue="1">
      <formula>MOD(ROW(),2)</formula>
    </cfRule>
  </conditionalFormatting>
  <conditionalFormatting sqref="CC141 BZ141 BW141 BT141 BQ141 BN141 BK141 BH141 BE141 BB141">
    <cfRule type="cellIs" dxfId="142" priority="121" stopIfTrue="1" operator="equal">
      <formula>"Pending"</formula>
    </cfRule>
  </conditionalFormatting>
  <conditionalFormatting sqref="AZ143 BC143 BF143 BI143 BL143 BO143 BR143 BU143 BX143 CA143">
    <cfRule type="expression" dxfId="141" priority="114" stopIfTrue="1">
      <formula>AZ$1=TODAY()+DailyScrumDateModifier</formula>
    </cfRule>
  </conditionalFormatting>
  <conditionalFormatting sqref="BA143 BD143 BG143 BJ143 BM143 BP143 BS143 BV143 BY143 CB143">
    <cfRule type="expression" dxfId="140" priority="115" stopIfTrue="1">
      <formula>AZ$1=TODAY()+DailyScrumDateModifier</formula>
    </cfRule>
  </conditionalFormatting>
  <conditionalFormatting sqref="H143 CE143">
    <cfRule type="expression" dxfId="139" priority="116" stopIfTrue="1">
      <formula>MOD(ROW(),2)</formula>
    </cfRule>
  </conditionalFormatting>
  <conditionalFormatting sqref="BB143 BE143 BH143 BK143 BN143 BQ143 BT143 BW143 BZ143 CC143">
    <cfRule type="cellIs" dxfId="138" priority="117" stopIfTrue="1" operator="equal">
      <formula>"Pending"</formula>
    </cfRule>
  </conditionalFormatting>
  <conditionalFormatting sqref="CA145 BX145 BU145 BR145 BO145 BL145 BI145 BF145 BC145 AZ145">
    <cfRule type="expression" dxfId="137" priority="110" stopIfTrue="1">
      <formula>AZ$1=TODAY()+DailyScrumDateModifier</formula>
    </cfRule>
  </conditionalFormatting>
  <conditionalFormatting sqref="CB145 BY145 BV145 BS145 BP145 BM145 BJ145 BG145 BD145 BA145">
    <cfRule type="expression" dxfId="136" priority="111" stopIfTrue="1">
      <formula>AZ$1=TODAY()+DailyScrumDateModifier</formula>
    </cfRule>
  </conditionalFormatting>
  <conditionalFormatting sqref="CE145 H145">
    <cfRule type="expression" dxfId="135" priority="112" stopIfTrue="1">
      <formula>MOD(ROW(),2)</formula>
    </cfRule>
  </conditionalFormatting>
  <conditionalFormatting sqref="CC145 BZ145 BW145 BT145 BQ145 BN145 BK145 BH145 BE145 BB145">
    <cfRule type="cellIs" dxfId="134" priority="113" stopIfTrue="1" operator="equal">
      <formula>"Pending"</formula>
    </cfRule>
  </conditionalFormatting>
  <conditionalFormatting sqref="AZ147 BC147 BF147 BI147 BL147 BO147 BR147 BU147 BX147 CA147">
    <cfRule type="expression" dxfId="133" priority="106" stopIfTrue="1">
      <formula>AZ$1=TODAY()+DailyScrumDateModifier</formula>
    </cfRule>
  </conditionalFormatting>
  <conditionalFormatting sqref="BA147 BD147 BG147 BJ147 BM147 BP147 BS147 BV147 BY147 CB147">
    <cfRule type="expression" dxfId="132" priority="107" stopIfTrue="1">
      <formula>AZ$1=TODAY()+DailyScrumDateModifier</formula>
    </cfRule>
  </conditionalFormatting>
  <conditionalFormatting sqref="H147 CE147">
    <cfRule type="expression" dxfId="131" priority="108" stopIfTrue="1">
      <formula>MOD(ROW(),2)</formula>
    </cfRule>
  </conditionalFormatting>
  <conditionalFormatting sqref="BB147 BE147 BH147 BK147 BN147 BQ147 BT147 BW147 BZ147 CC147">
    <cfRule type="cellIs" dxfId="130" priority="109" stopIfTrue="1" operator="equal">
      <formula>"Pending"</formula>
    </cfRule>
  </conditionalFormatting>
  <conditionalFormatting sqref="CA148 BX148 BU148 BR148 BO148 BL148 BI148 BF148 BC148 AZ148">
    <cfRule type="expression" dxfId="129" priority="102" stopIfTrue="1">
      <formula>AZ$1=TODAY()+DailyScrumDateModifier</formula>
    </cfRule>
  </conditionalFormatting>
  <conditionalFormatting sqref="CB148 BY148 BV148 BS148 BP148 BM148 BJ148 BG148 BD148 BA148">
    <cfRule type="expression" dxfId="128" priority="103" stopIfTrue="1">
      <formula>AZ$1=TODAY()+DailyScrumDateModifier</formula>
    </cfRule>
  </conditionalFormatting>
  <conditionalFormatting sqref="CE148 H148">
    <cfRule type="expression" dxfId="127" priority="104" stopIfTrue="1">
      <formula>MOD(ROW(),2)</formula>
    </cfRule>
  </conditionalFormatting>
  <conditionalFormatting sqref="CC148 BZ148 BW148 BT148 BQ148 BN148 BK148 BH148 BE148 BB148">
    <cfRule type="cellIs" dxfId="126" priority="105" stopIfTrue="1" operator="equal">
      <formula>"Pending"</formula>
    </cfRule>
  </conditionalFormatting>
  <conditionalFormatting sqref="AZ150 BC150 BF150 BI150 BL150 BO150 BR150 BU150 BX150 CA150">
    <cfRule type="expression" dxfId="125" priority="98" stopIfTrue="1">
      <formula>AZ$1=TODAY()+DailyScrumDateModifier</formula>
    </cfRule>
  </conditionalFormatting>
  <conditionalFormatting sqref="BA150 BD150 BG150 BJ150 BM150 BP150 BS150 BV150 BY150 CB150">
    <cfRule type="expression" dxfId="124" priority="99" stopIfTrue="1">
      <formula>AZ$1=TODAY()+DailyScrumDateModifier</formula>
    </cfRule>
  </conditionalFormatting>
  <conditionalFormatting sqref="H150 CE150">
    <cfRule type="expression" dxfId="123" priority="100" stopIfTrue="1">
      <formula>MOD(ROW(),2)</formula>
    </cfRule>
  </conditionalFormatting>
  <conditionalFormatting sqref="BB150 BE150 BH150 BK150 BN150 BQ150 BT150 BW150 BZ150 CC150">
    <cfRule type="cellIs" dxfId="122" priority="101" stopIfTrue="1" operator="equal">
      <formula>"Pending"</formula>
    </cfRule>
  </conditionalFormatting>
  <conditionalFormatting sqref="CA152 BX152 BU152 BR152 BO152 BL152 BI152 BF152 BC152 AZ152">
    <cfRule type="expression" dxfId="121" priority="94" stopIfTrue="1">
      <formula>AZ$1=TODAY()+DailyScrumDateModifier</formula>
    </cfRule>
  </conditionalFormatting>
  <conditionalFormatting sqref="CB152 BY152 BV152 BS152 BP152 BM152 BJ152 BG152 BD152 BA152">
    <cfRule type="expression" dxfId="120" priority="95" stopIfTrue="1">
      <formula>AZ$1=TODAY()+DailyScrumDateModifier</formula>
    </cfRule>
  </conditionalFormatting>
  <conditionalFormatting sqref="CE152 H152">
    <cfRule type="expression" dxfId="119" priority="96" stopIfTrue="1">
      <formula>MOD(ROW(),2)</formula>
    </cfRule>
  </conditionalFormatting>
  <conditionalFormatting sqref="CC152 BZ152 BW152 BT152 BQ152 BN152 BK152 BH152 BE152 BB152">
    <cfRule type="cellIs" dxfId="118" priority="97" stopIfTrue="1" operator="equal">
      <formula>"Pending"</formula>
    </cfRule>
  </conditionalFormatting>
  <conditionalFormatting sqref="AZ156 BC156 BF156 BI156 BL156 BO156 BR156 BU156 BX156 CA156">
    <cfRule type="expression" dxfId="117" priority="90" stopIfTrue="1">
      <formula>AZ$1=TODAY()+DailyScrumDateModifier</formula>
    </cfRule>
  </conditionalFormatting>
  <conditionalFormatting sqref="BA156 BD156 BG156 BJ156 BM156 BP156 BS156 BV156 BY156 CB156">
    <cfRule type="expression" dxfId="116" priority="91" stopIfTrue="1">
      <formula>AZ$1=TODAY()+DailyScrumDateModifier</formula>
    </cfRule>
  </conditionalFormatting>
  <conditionalFormatting sqref="H156 CE156">
    <cfRule type="expression" dxfId="115" priority="92" stopIfTrue="1">
      <formula>MOD(ROW(),2)</formula>
    </cfRule>
  </conditionalFormatting>
  <conditionalFormatting sqref="BB156 BE156 BH156 BK156 BN156 BQ156 BT156 BW156 BZ156 CC156">
    <cfRule type="cellIs" dxfId="114" priority="93" stopIfTrue="1" operator="equal">
      <formula>"Pending"</formula>
    </cfRule>
  </conditionalFormatting>
  <conditionalFormatting sqref="CA158 BX158 BU158 BR158 BO158 BL158 BI158 BF158 BC158 AZ158">
    <cfRule type="expression" dxfId="113" priority="86" stopIfTrue="1">
      <formula>AZ$1=TODAY()+DailyScrumDateModifier</formula>
    </cfRule>
  </conditionalFormatting>
  <conditionalFormatting sqref="CB158 BY158 BV158 BS158 BP158 BM158 BJ158 BG158 BD158 BA158">
    <cfRule type="expression" dxfId="112" priority="87" stopIfTrue="1">
      <formula>AZ$1=TODAY()+DailyScrumDateModifier</formula>
    </cfRule>
  </conditionalFormatting>
  <conditionalFormatting sqref="CE158 H158">
    <cfRule type="expression" dxfId="111" priority="88" stopIfTrue="1">
      <formula>MOD(ROW(),2)</formula>
    </cfRule>
  </conditionalFormatting>
  <conditionalFormatting sqref="CC158 BZ158 BW158 BT158 BQ158 BN158 BK158 BH158 BE158 BB158">
    <cfRule type="cellIs" dxfId="110" priority="89" stopIfTrue="1" operator="equal">
      <formula>"Pending"</formula>
    </cfRule>
  </conditionalFormatting>
  <conditionalFormatting sqref="AZ160 BC160 BF160 BI160 BL160 BO160 BR160 BU160 BX160 CA160">
    <cfRule type="expression" dxfId="109" priority="82" stopIfTrue="1">
      <formula>AZ$1=TODAY()+DailyScrumDateModifier</formula>
    </cfRule>
  </conditionalFormatting>
  <conditionalFormatting sqref="BA160 BD160 BG160 BJ160 BM160 BP160 BS160 BV160 BY160 CB160">
    <cfRule type="expression" dxfId="108" priority="83" stopIfTrue="1">
      <formula>AZ$1=TODAY()+DailyScrumDateModifier</formula>
    </cfRule>
  </conditionalFormatting>
  <conditionalFormatting sqref="H160 CE160">
    <cfRule type="expression" dxfId="107" priority="84" stopIfTrue="1">
      <formula>MOD(ROW(),2)</formula>
    </cfRule>
  </conditionalFormatting>
  <conditionalFormatting sqref="BB160 BE160 BH160 BK160 BN160 BQ160 BT160 BW160 BZ160 CC160">
    <cfRule type="cellIs" dxfId="106" priority="85" stopIfTrue="1" operator="equal">
      <formula>"Pending"</formula>
    </cfRule>
  </conditionalFormatting>
  <conditionalFormatting sqref="CA162 BX162 BU162 BR162 BO162 BL162 BI162 BF162 BC162 AZ162">
    <cfRule type="expression" dxfId="105" priority="78" stopIfTrue="1">
      <formula>AZ$1=TODAY()+DailyScrumDateModifier</formula>
    </cfRule>
  </conditionalFormatting>
  <conditionalFormatting sqref="CB162 BY162 BV162 BS162 BP162 BM162 BJ162 BG162 BD162 BA162">
    <cfRule type="expression" dxfId="104" priority="79" stopIfTrue="1">
      <formula>AZ$1=TODAY()+DailyScrumDateModifier</formula>
    </cfRule>
  </conditionalFormatting>
  <conditionalFormatting sqref="CE162 H162">
    <cfRule type="expression" dxfId="103" priority="80" stopIfTrue="1">
      <formula>MOD(ROW(),2)</formula>
    </cfRule>
  </conditionalFormatting>
  <conditionalFormatting sqref="CC162 BZ162 BW162 BT162 BQ162 BN162 BK162 BH162 BE162 BB162">
    <cfRule type="cellIs" dxfId="102" priority="81" stopIfTrue="1" operator="equal">
      <formula>"Pending"</formula>
    </cfRule>
  </conditionalFormatting>
  <conditionalFormatting sqref="AZ149 BC149 BF149 BI149 BL149 BO149 BR149 BU149 BX149 CA149">
    <cfRule type="expression" dxfId="101" priority="70" stopIfTrue="1">
      <formula>AZ$1=TODAY()+DailyScrumDateModifier</formula>
    </cfRule>
    <cfRule type="expression" dxfId="100" priority="76" stopIfTrue="1">
      <formula>MOD(ROW(),2)</formula>
    </cfRule>
  </conditionalFormatting>
  <conditionalFormatting sqref="BA149 BD149 BG149 BJ149 BM149 BP149 BS149 BV149 BY149 CB149">
    <cfRule type="expression" dxfId="99" priority="71" stopIfTrue="1">
      <formula>AZ$1=TODAY()+DailyScrumDateModifier</formula>
    </cfRule>
    <cfRule type="expression" dxfId="98" priority="75" stopIfTrue="1">
      <formula>MOD(ROW(),2)</formula>
    </cfRule>
  </conditionalFormatting>
  <conditionalFormatting sqref="H149 CE149">
    <cfRule type="expression" dxfId="97" priority="72" stopIfTrue="1">
      <formula>MOD(ROW(),2)</formula>
    </cfRule>
  </conditionalFormatting>
  <conditionalFormatting sqref="BB149 BE149 BH149 BK149 BN149 BQ149 BT149 BW149 BZ149 CC149">
    <cfRule type="cellIs" dxfId="96" priority="73" stopIfTrue="1" operator="equal">
      <formula>"In Progress"</formula>
    </cfRule>
    <cfRule type="cellIs" dxfId="95" priority="74" stopIfTrue="1" operator="equal">
      <formula>"Complete"</formula>
    </cfRule>
  </conditionalFormatting>
  <conditionalFormatting sqref="AZ155 BC155 BF155 BI155 BL155 BO155 BR155 BU155 BX155 CA155">
    <cfRule type="expression" dxfId="94" priority="63" stopIfTrue="1">
      <formula>AZ$1=TODAY()+DailyScrumDateModifier</formula>
    </cfRule>
    <cfRule type="expression" dxfId="93" priority="69" stopIfTrue="1">
      <formula>MOD(ROW(),2)</formula>
    </cfRule>
  </conditionalFormatting>
  <conditionalFormatting sqref="BA155 BD155 BG155 BJ155 BM155 BP155 BS155 BV155 BY155 CB155">
    <cfRule type="expression" dxfId="92" priority="64" stopIfTrue="1">
      <formula>AZ$1=TODAY()+DailyScrumDateModifier</formula>
    </cfRule>
    <cfRule type="expression" dxfId="91" priority="68" stopIfTrue="1">
      <formula>MOD(ROW(),2)</formula>
    </cfRule>
  </conditionalFormatting>
  <conditionalFormatting sqref="H155 CE155">
    <cfRule type="expression" dxfId="90" priority="65" stopIfTrue="1">
      <formula>MOD(ROW(),2)</formula>
    </cfRule>
  </conditionalFormatting>
  <conditionalFormatting sqref="BB155 BE155 BH155 BK155 BN155 BQ155 BT155 BW155 BZ155 CC155">
    <cfRule type="cellIs" dxfId="89" priority="66" stopIfTrue="1" operator="equal">
      <formula>"In Progress"</formula>
    </cfRule>
    <cfRule type="cellIs" dxfId="88" priority="67" stopIfTrue="1" operator="equal">
      <formula>"Complete"</formula>
    </cfRule>
  </conditionalFormatting>
  <conditionalFormatting sqref="CA83 BX83 BU83 BR83 BO83 BL83 BI83 BF83 BC83 AZ83">
    <cfRule type="expression" dxfId="87" priority="59" stopIfTrue="1">
      <formula>AZ$1=TODAY()+DailyScrumDateModifier</formula>
    </cfRule>
  </conditionalFormatting>
  <conditionalFormatting sqref="CB83 BY83 BV83 BS83 BP83 BM83 BJ83 BG83 BD83 BA83">
    <cfRule type="expression" dxfId="86" priority="60" stopIfTrue="1">
      <formula>AZ$1=TODAY()+DailyScrumDateModifier</formula>
    </cfRule>
  </conditionalFormatting>
  <conditionalFormatting sqref="CE83 H83">
    <cfRule type="expression" dxfId="85" priority="61" stopIfTrue="1">
      <formula>MOD(ROW(),2)</formula>
    </cfRule>
  </conditionalFormatting>
  <conditionalFormatting sqref="CC83 BZ83 BW83 BT83 BQ83 BN83 BK83 BH83 BE83 BB83">
    <cfRule type="cellIs" dxfId="84" priority="62" stopIfTrue="1" operator="equal">
      <formula>"Pending"</formula>
    </cfRule>
  </conditionalFormatting>
  <conditionalFormatting sqref="CA164:CA166 BX164:BX166 BU164:BU166 BR164:BR166 BO164:BO166 BL164:BL166 BI164:BI166 BF164:BF166 BC164:BC166 AZ164:AZ166 AZ168 BC168 BF168 BI168 BL168 BO168 BR168 BU168 BX168 CA168 CA170:CA173 BX170:BX173 BU170:BU173 BR170:BR173 BO170:BO173 BL170:BL173 BI170:BI173 BF170:BF173 BC170:BC173 AZ170:AZ173 AZ175 BC175 BF175 BI175 BL175 BO175 BR175 BU175 BX175 CA175 CA177 BX177 BU177 BR177 BO177 BL177 BI177 BF177 BC177 AZ177 AZ179 BC179 BF179 BI179 BL179 BO179 BR179 BU179 BX179 CA179 CA181 BX181 BU181 BR181 BO181 BL181 BI181 BF181 BC181 AZ181 CA183:CA187 BX183:BX187 BU183:BU187 BR183:BR187 BO183:BO187 BL183:BL187 BI183:BI187 BF183:BF187 BC183:BC187 AZ183:AZ187 AZ189 BC189 BF189 BI189 BL189 BO189 BR189 BU189 BX189 CA189 CA191 BX191 BU191 BR191 BO191 BL191 BI191 BF191 BC191 AZ191 AZ193 BC193 BF193 BI193 BL193 BO193 BR193 BU193 BX193 CA193 CA195 BX195 BU195 BR195 BO195 BL195 BI195 BF195 BC195 AZ195 CA197:CA198 BX197:BX198 BU197:BU198 BR197:BR198 BO197:BO198 BL197:BL198 BI197:BI198 BF197:BF198 BC197:BC198 AZ197:AZ198">
    <cfRule type="expression" dxfId="83" priority="55" stopIfTrue="1">
      <formula>AZ$1=TODAY()+DailyScrumDateModifier</formula>
    </cfRule>
  </conditionalFormatting>
  <conditionalFormatting sqref="CB164:CB166 BY164:BY166 BV164:BV166 BS164:BS166 BP164:BP166 BM164:BM166 BJ164:BJ166 BG164:BG166 BD164:BD166 BA164:BA166 BA168 BD168 BG168 BJ168 BM168 BP168 BS168 BV168 BY168 CB168 CB170:CB173 BY170:BY173 BV170:BV173 BS170:BS173 BP170:BP173 BM170:BM173 BJ170:BJ173 BG170:BG173 BD170:BD173 BA170:BA173 BA175 BD175 BG175 BJ175 BM175 BP175 BS175 BV175 BY175 CB175 CB177 BY177 BV177 BS177 BP177 BM177 BJ177 BG177 BD177 BA177 BA179 BD179 BG179 BJ179 BM179 BP179 BS179 BV179 BY179 CB179 CB181 BY181 BV181 BS181 BP181 BM181 BJ181 BG181 BD181 BA181 CB183:CB187 BY183:BY187 BV183:BV187 BS183:BS187 BP183:BP187 BM183:BM187 BJ183:BJ187 BG183:BG187 BD183:BD187 BA183:BA187 BA189 BD189 BG189 BJ189 BM189 BP189 BS189 BV189 BY189 CB189 CB191 BY191 BV191 BS191 BP191 BM191 BJ191 BG191 BD191 BA191 BA193 BD193 BG193 BJ193 BM193 BP193 BS193 BV193 BY193 CB193 CB195 BY195 BV195 BS195 BP195 BM195 BJ195 BG195 BD195 BA195 CB197:CB198 BY197:BY198 BV197:BV198 BS197:BS198 BP197:BP198 BM197:BM198 BJ197:BJ198 BG197:BG198 BD197:BD198 BA197:BA198">
    <cfRule type="expression" dxfId="82" priority="56" stopIfTrue="1">
      <formula>AZ$1=TODAY()+DailyScrumDateModifier</formula>
    </cfRule>
  </conditionalFormatting>
  <conditionalFormatting sqref="CE164:CE166 H164:H166 H168 CE168 CE170:CE173 H170:H173 H175 CE175 CE177 H177 H179 CE179 CE181 CE183:CE187 CE189 CE191 CE193 CE195 CE197:CE198">
    <cfRule type="expression" dxfId="81" priority="57" stopIfTrue="1">
      <formula>MOD(ROW(),2)</formula>
    </cfRule>
  </conditionalFormatting>
  <conditionalFormatting sqref="CC164:CC166 BZ164:BZ166 BW164:BW166 BT164:BT166 BQ164:BQ166 BN164:BN166 BK164:BK166 BH164:BH166 BE164:BE166 BB164:BB166 BB168 BE168 BH168 BK168 BN168 BQ168 BT168 BW168 BZ168 CC168 CC170:CC173 BZ170:BZ173 BW170:BW173 BT170:BT173 BQ170:BQ173 BN170:BN173 BK170:BK173 BH170:BH173 BE170:BE173 BB170:BB173 BB175 BE175 BH175 BK175 BN175 BQ175 BT175 BW175 BZ175 CC175 CC177 BZ177 BW177 BT177 BQ177 BN177 BK177 BH177 BE177 BB177 BB179 BE179 BH179 BK179 BN179 BQ179 BT179 BW179 BZ179 CC179 CC181 BZ181 BW181 BT181 BQ181 BN181 BK181 BH181 BE181 BB181 CC183:CC187 BZ183:BZ187 BW183:BW187 BT183:BT187 BQ183:BQ187 BN183:BN187 BK183:BK187 BH183:BH187 BE183:BE187 BB183:BB187 BB189 BE189 BH189 BK189 BN189 BQ189 BT189 BW189 BZ189 CC189 CC191 BZ191 BW191 BT191 BQ191 BN191 BK191 BH191 BE191 BB191 BB193 BE193 BH193 BK193 BN193 BQ193 BT193 BW193 BZ193 CC193 CC195 BZ195 BW195 BT195 BQ195 BN195 BK195 BH195 BE195 BB195 CC197:CC198 BZ197:BZ198 BW197:BW198 BT197:BT198 BQ197:BQ198 BN197:BN198 BK197:BK198 BH197:BH198 BE197:BE198 BB197:BB198">
    <cfRule type="cellIs" dxfId="80" priority="58" stopIfTrue="1" operator="equal">
      <formula>"Pending"</formula>
    </cfRule>
  </conditionalFormatting>
  <conditionalFormatting sqref="AZ167 BC167 BF167 BI167 BL167 BO167 BR167 BU167 BX167 CA167">
    <cfRule type="expression" dxfId="79" priority="51" stopIfTrue="1">
      <formula>AZ$1=TODAY()+DailyScrumDateModifier</formula>
    </cfRule>
  </conditionalFormatting>
  <conditionalFormatting sqref="BA167 BD167 BG167 BJ167 BM167 BP167 BS167 BV167 BY167 CB167">
    <cfRule type="expression" dxfId="78" priority="52" stopIfTrue="1">
      <formula>AZ$1=TODAY()+DailyScrumDateModifier</formula>
    </cfRule>
  </conditionalFormatting>
  <conditionalFormatting sqref="H167 CE167">
    <cfRule type="expression" dxfId="77" priority="53" stopIfTrue="1">
      <formula>MOD(ROW(),2)</formula>
    </cfRule>
  </conditionalFormatting>
  <conditionalFormatting sqref="BB167 BE167 BH167 BK167 BN167 BQ167 BT167 BW167 BZ167 CC167">
    <cfRule type="cellIs" dxfId="76" priority="54" stopIfTrue="1" operator="equal">
      <formula>"Pending"</formula>
    </cfRule>
  </conditionalFormatting>
  <conditionalFormatting sqref="CA169 BX169 BU169 BR169 BO169 BL169 BI169 BF169 BC169 AZ169">
    <cfRule type="expression" dxfId="75" priority="47" stopIfTrue="1">
      <formula>AZ$1=TODAY()+DailyScrumDateModifier</formula>
    </cfRule>
  </conditionalFormatting>
  <conditionalFormatting sqref="CB169 BY169 BV169 BS169 BP169 BM169 BJ169 BG169 BD169 BA169">
    <cfRule type="expression" dxfId="74" priority="48" stopIfTrue="1">
      <formula>AZ$1=TODAY()+DailyScrumDateModifier</formula>
    </cfRule>
  </conditionalFormatting>
  <conditionalFormatting sqref="CE169 H169">
    <cfRule type="expression" dxfId="73" priority="49" stopIfTrue="1">
      <formula>MOD(ROW(),2)</formula>
    </cfRule>
  </conditionalFormatting>
  <conditionalFormatting sqref="CC169 BZ169 BW169 BT169 BQ169 BN169 BK169 BH169 BE169 BB169">
    <cfRule type="cellIs" dxfId="72" priority="50" stopIfTrue="1" operator="equal">
      <formula>"Pending"</formula>
    </cfRule>
  </conditionalFormatting>
  <conditionalFormatting sqref="AZ174 BC174 BF174 BI174 BL174 BO174 BR174 BU174 BX174 CA174">
    <cfRule type="expression" dxfId="71" priority="43" stopIfTrue="1">
      <formula>AZ$1=TODAY()+DailyScrumDateModifier</formula>
    </cfRule>
  </conditionalFormatting>
  <conditionalFormatting sqref="BA174 BD174 BG174 BJ174 BM174 BP174 BS174 BV174 BY174 CB174">
    <cfRule type="expression" dxfId="70" priority="44" stopIfTrue="1">
      <formula>AZ$1=TODAY()+DailyScrumDateModifier</formula>
    </cfRule>
  </conditionalFormatting>
  <conditionalFormatting sqref="H174 CE174">
    <cfRule type="expression" dxfId="69" priority="45" stopIfTrue="1">
      <formula>MOD(ROW(),2)</formula>
    </cfRule>
  </conditionalFormatting>
  <conditionalFormatting sqref="BB174 BE174 BH174 BK174 BN174 BQ174 BT174 BW174 BZ174 CC174">
    <cfRule type="cellIs" dxfId="68" priority="46" stopIfTrue="1" operator="equal">
      <formula>"Pending"</formula>
    </cfRule>
  </conditionalFormatting>
  <conditionalFormatting sqref="CA176 BX176 BU176 BR176 BO176 BL176 BI176 BF176 BC176 AZ176">
    <cfRule type="expression" dxfId="67" priority="39" stopIfTrue="1">
      <formula>AZ$1=TODAY()+DailyScrumDateModifier</formula>
    </cfRule>
  </conditionalFormatting>
  <conditionalFormatting sqref="CB176 BY176 BV176 BS176 BP176 BM176 BJ176 BG176 BD176 BA176">
    <cfRule type="expression" dxfId="66" priority="40" stopIfTrue="1">
      <formula>AZ$1=TODAY()+DailyScrumDateModifier</formula>
    </cfRule>
  </conditionalFormatting>
  <conditionalFormatting sqref="CE176 H176">
    <cfRule type="expression" dxfId="65" priority="41" stopIfTrue="1">
      <formula>MOD(ROW(),2)</formula>
    </cfRule>
  </conditionalFormatting>
  <conditionalFormatting sqref="CC176 BZ176 BW176 BT176 BQ176 BN176 BK176 BH176 BE176 BB176">
    <cfRule type="cellIs" dxfId="64" priority="42" stopIfTrue="1" operator="equal">
      <formula>"Pending"</formula>
    </cfRule>
  </conditionalFormatting>
  <conditionalFormatting sqref="AZ178 BC178 BF178 BI178 BL178 BO178 BR178 BU178 BX178 CA178">
    <cfRule type="expression" dxfId="63" priority="35" stopIfTrue="1">
      <formula>AZ$1=TODAY()+DailyScrumDateModifier</formula>
    </cfRule>
  </conditionalFormatting>
  <conditionalFormatting sqref="BA178 BD178 BG178 BJ178 BM178 BP178 BS178 BV178 BY178 CB178">
    <cfRule type="expression" dxfId="62" priority="36" stopIfTrue="1">
      <formula>AZ$1=TODAY()+DailyScrumDateModifier</formula>
    </cfRule>
  </conditionalFormatting>
  <conditionalFormatting sqref="H178 CE178">
    <cfRule type="expression" dxfId="61" priority="37" stopIfTrue="1">
      <formula>MOD(ROW(),2)</formula>
    </cfRule>
  </conditionalFormatting>
  <conditionalFormatting sqref="BB178 BE178 BH178 BK178 BN178 BQ178 BT178 BW178 BZ178 CC178">
    <cfRule type="cellIs" dxfId="60" priority="38" stopIfTrue="1" operator="equal">
      <formula>"Pending"</formula>
    </cfRule>
  </conditionalFormatting>
  <conditionalFormatting sqref="CA180 BX180 BU180 BR180 BO180 BL180 BI180 BF180 BC180 AZ180">
    <cfRule type="expression" dxfId="59" priority="31" stopIfTrue="1">
      <formula>AZ$1=TODAY()+DailyScrumDateModifier</formula>
    </cfRule>
  </conditionalFormatting>
  <conditionalFormatting sqref="CB180 BY180 BV180 BS180 BP180 BM180 BJ180 BG180 BD180 BA180">
    <cfRule type="expression" dxfId="58" priority="32" stopIfTrue="1">
      <formula>AZ$1=TODAY()+DailyScrumDateModifier</formula>
    </cfRule>
  </conditionalFormatting>
  <conditionalFormatting sqref="CE180 H180:H198">
    <cfRule type="expression" dxfId="57" priority="33" stopIfTrue="1">
      <formula>MOD(ROW(),2)</formula>
    </cfRule>
  </conditionalFormatting>
  <conditionalFormatting sqref="CC180 BZ180 BW180 BT180 BQ180 BN180 BK180 BH180 BE180 BB180">
    <cfRule type="cellIs" dxfId="56" priority="34" stopIfTrue="1" operator="equal">
      <formula>"Pending"</formula>
    </cfRule>
  </conditionalFormatting>
  <conditionalFormatting sqref="AZ182 BC182 BF182 BI182 BL182 BO182 BR182 BU182 BX182 CA182">
    <cfRule type="expression" dxfId="55" priority="27" stopIfTrue="1">
      <formula>AZ$1=TODAY()+DailyScrumDateModifier</formula>
    </cfRule>
  </conditionalFormatting>
  <conditionalFormatting sqref="BA182 BD182 BG182 BJ182 BM182 BP182 BS182 BV182 BY182 CB182">
    <cfRule type="expression" dxfId="54" priority="28" stopIfTrue="1">
      <formula>AZ$1=TODAY()+DailyScrumDateModifier</formula>
    </cfRule>
  </conditionalFormatting>
  <conditionalFormatting sqref="CE182">
    <cfRule type="expression" dxfId="53" priority="29" stopIfTrue="1">
      <formula>MOD(ROW(),2)</formula>
    </cfRule>
  </conditionalFormatting>
  <conditionalFormatting sqref="BB182 BE182 BH182 BK182 BN182 BQ182 BT182 BW182 BZ182 CC182">
    <cfRule type="cellIs" dxfId="52" priority="30" stopIfTrue="1" operator="equal">
      <formula>"Pending"</formula>
    </cfRule>
  </conditionalFormatting>
  <conditionalFormatting sqref="CA163 BX163 BU163 BR163 BO163 BL163 BI163 BF163 BC163 AZ163">
    <cfRule type="expression" dxfId="51" priority="23" stopIfTrue="1">
      <formula>AZ$1=TODAY()+DailyScrumDateModifier</formula>
    </cfRule>
  </conditionalFormatting>
  <conditionalFormatting sqref="CB163 BY163 BV163 BS163 BP163 BM163 BJ163 BG163 BD163 BA163">
    <cfRule type="expression" dxfId="50" priority="24" stopIfTrue="1">
      <formula>AZ$1=TODAY()+DailyScrumDateModifier</formula>
    </cfRule>
  </conditionalFormatting>
  <conditionalFormatting sqref="CE163 H163">
    <cfRule type="expression" dxfId="49" priority="25" stopIfTrue="1">
      <formula>MOD(ROW(),2)</formula>
    </cfRule>
  </conditionalFormatting>
  <conditionalFormatting sqref="CC163 BZ163 BW163 BT163 BQ163 BN163 BK163 BH163 BE163 BB163">
    <cfRule type="cellIs" dxfId="48" priority="26" stopIfTrue="1" operator="equal">
      <formula>"Pending"</formula>
    </cfRule>
  </conditionalFormatting>
  <conditionalFormatting sqref="AZ188 BC188 BF188 BI188 BL188 BO188 BR188 BU188 BX188 CA188">
    <cfRule type="expression" dxfId="47" priority="19" stopIfTrue="1">
      <formula>AZ$1=TODAY()+DailyScrumDateModifier</formula>
    </cfRule>
  </conditionalFormatting>
  <conditionalFormatting sqref="BA188 BD188 BG188 BJ188 BM188 BP188 BS188 BV188 BY188 CB188">
    <cfRule type="expression" dxfId="46" priority="20" stopIfTrue="1">
      <formula>AZ$1=TODAY()+DailyScrumDateModifier</formula>
    </cfRule>
  </conditionalFormatting>
  <conditionalFormatting sqref="CE188">
    <cfRule type="expression" dxfId="45" priority="21" stopIfTrue="1">
      <formula>MOD(ROW(),2)</formula>
    </cfRule>
  </conditionalFormatting>
  <conditionalFormatting sqref="BB188 BE188 BH188 BK188 BN188 BQ188 BT188 BW188 BZ188 CC188">
    <cfRule type="cellIs" dxfId="44" priority="22" stopIfTrue="1" operator="equal">
      <formula>"Pending"</formula>
    </cfRule>
  </conditionalFormatting>
  <conditionalFormatting sqref="CA190 BX190 BU190 BR190 BO190 BL190 BI190 BF190 BC190 AZ190">
    <cfRule type="expression" dxfId="43" priority="15" stopIfTrue="1">
      <formula>AZ$1=TODAY()+DailyScrumDateModifier</formula>
    </cfRule>
  </conditionalFormatting>
  <conditionalFormatting sqref="CB190 BY190 BV190 BS190 BP190 BM190 BJ190 BG190 BD190 BA190">
    <cfRule type="expression" dxfId="42" priority="16" stopIfTrue="1">
      <formula>AZ$1=TODAY()+DailyScrumDateModifier</formula>
    </cfRule>
  </conditionalFormatting>
  <conditionalFormatting sqref="CE190">
    <cfRule type="expression" dxfId="41" priority="17" stopIfTrue="1">
      <formula>MOD(ROW(),2)</formula>
    </cfRule>
  </conditionalFormatting>
  <conditionalFormatting sqref="CC190 BZ190 BW190 BT190 BQ190 BN190 BK190 BH190 BE190 BB190">
    <cfRule type="cellIs" dxfId="40" priority="18" stopIfTrue="1" operator="equal">
      <formula>"Pending"</formula>
    </cfRule>
  </conditionalFormatting>
  <conditionalFormatting sqref="AZ192 BC192 BF192 BI192 BL192 BO192 BR192 BU192 BX192 CA192">
    <cfRule type="expression" dxfId="39" priority="11" stopIfTrue="1">
      <formula>AZ$1=TODAY()+DailyScrumDateModifier</formula>
    </cfRule>
  </conditionalFormatting>
  <conditionalFormatting sqref="BA192 BD192 BG192 BJ192 BM192 BP192 BS192 BV192 BY192 CB192">
    <cfRule type="expression" dxfId="38" priority="12" stopIfTrue="1">
      <formula>AZ$1=TODAY()+DailyScrumDateModifier</formula>
    </cfRule>
  </conditionalFormatting>
  <conditionalFormatting sqref="CE192">
    <cfRule type="expression" dxfId="37" priority="13" stopIfTrue="1">
      <formula>MOD(ROW(),2)</formula>
    </cfRule>
  </conditionalFormatting>
  <conditionalFormatting sqref="BB192 BE192 BH192 BK192 BN192 BQ192 BT192 BW192 BZ192 CC192">
    <cfRule type="cellIs" dxfId="36" priority="14" stopIfTrue="1" operator="equal">
      <formula>"Pending"</formula>
    </cfRule>
  </conditionalFormatting>
  <conditionalFormatting sqref="CA194 BX194 BU194 BR194 BO194 BL194 BI194 BF194 BC194 AZ194">
    <cfRule type="expression" dxfId="35" priority="7" stopIfTrue="1">
      <formula>AZ$1=TODAY()+DailyScrumDateModifier</formula>
    </cfRule>
  </conditionalFormatting>
  <conditionalFormatting sqref="CB194 BY194 BV194 BS194 BP194 BM194 BJ194 BG194 BD194 BA194">
    <cfRule type="expression" dxfId="34" priority="8" stopIfTrue="1">
      <formula>AZ$1=TODAY()+DailyScrumDateModifier</formula>
    </cfRule>
  </conditionalFormatting>
  <conditionalFormatting sqref="CE194">
    <cfRule type="expression" dxfId="33" priority="9" stopIfTrue="1">
      <formula>MOD(ROW(),2)</formula>
    </cfRule>
  </conditionalFormatting>
  <conditionalFormatting sqref="CC194 BZ194 BW194 BT194 BQ194 BN194 BK194 BH194 BE194 BB194">
    <cfRule type="cellIs" dxfId="32" priority="10" stopIfTrue="1" operator="equal">
      <formula>"Pending"</formula>
    </cfRule>
  </conditionalFormatting>
  <conditionalFormatting sqref="AZ196 BC196 BF196 BI196 BL196 BO196 BR196 BU196 BX196 CA196">
    <cfRule type="expression" dxfId="31" priority="3" stopIfTrue="1">
      <formula>AZ$1=TODAY()+DailyScrumDateModifier</formula>
    </cfRule>
  </conditionalFormatting>
  <conditionalFormatting sqref="BA196 BD196 BG196 BJ196 BM196 BP196 BS196 BV196 BY196 CB196">
    <cfRule type="expression" dxfId="30" priority="4" stopIfTrue="1">
      <formula>AZ$1=TODAY()+DailyScrumDateModifier</formula>
    </cfRule>
  </conditionalFormatting>
  <conditionalFormatting sqref="CE196">
    <cfRule type="expression" dxfId="29" priority="5" stopIfTrue="1">
      <formula>MOD(ROW(),2)</formula>
    </cfRule>
  </conditionalFormatting>
  <conditionalFormatting sqref="BB196 BE196 BH196 BK196 BN196 BQ196 BT196 BW196 BZ196 CC196">
    <cfRule type="cellIs" dxfId="28" priority="6" stopIfTrue="1" operator="equal">
      <formula>"Pending"</formula>
    </cfRule>
  </conditionalFormatting>
  <conditionalFormatting sqref="A4:B198">
    <cfRule type="expression" dxfId="27" priority="2" stopIfTrue="1">
      <formula>MOD(ROW(),2)</formula>
    </cfRule>
  </conditionalFormatting>
  <conditionalFormatting sqref="F4:F198">
    <cfRule type="expression" dxfId="26" priority="1" stopIfTrue="1">
      <formula>MOD(ROW(),2)</formula>
    </cfRule>
  </conditionalFormatting>
  <dataValidations count="3">
    <dataValidation type="list" allowBlank="1" showInputMessage="1" showErrorMessage="1" sqref="F4:F198" xr:uid="{B58C64C9-D505-446E-A1E4-600DBCFB8D30}">
      <formula1>Members</formula1>
    </dataValidation>
    <dataValidation type="list" allowBlank="1" showInputMessage="1" showErrorMessage="1" sqref="A4:A6 A16 A24:A25" xr:uid="{635A39A9-64B4-46C6-8BC0-32B4D701AF44}">
      <formula1>Worktype</formula1>
    </dataValidation>
    <dataValidation type="list" allowBlank="1" showInputMessage="1" showErrorMessage="1" sqref="B4:B6 B16 B24:B25 B33 B42:B43 B54 B67:B68 B81:B82 B96:B97 B111:B112 B125:B126 B139:B140 B154:B155 B169:B170 B184:B185" xr:uid="{9D2AD7AF-CC99-4E23-92EE-F51084540419}">
      <formula1>Deliverable</formula1>
    </dataValidation>
  </dataValidations>
  <pageMargins left="0" right="0" top="0" bottom="0" header="0" footer="0"/>
  <pageSetup orientation="portrait" r:id="rId1"/>
  <headerFooter alignWithMargins="0"/>
  <drawing r:id="rId2"/>
  <legacyDrawing r:id="rId3"/>
  <controls>
    <mc:AlternateContent xmlns:mc="http://schemas.openxmlformats.org/markup-compatibility/2006">
      <mc:Choice Requires="x14">
        <control shapeId="6275" r:id="rId4" name="BtnInsertNewLine">
          <controlPr defaultSize="0" autoLine="0" autoPict="0" r:id="rId5">
            <anchor moveWithCells="1">
              <from>
                <xdr:col>4</xdr:col>
                <xdr:colOff>38100</xdr:colOff>
                <xdr:row>1</xdr:row>
                <xdr:rowOff>7620</xdr:rowOff>
              </from>
              <to>
                <xdr:col>4</xdr:col>
                <xdr:colOff>1097280</xdr:colOff>
                <xdr:row>2</xdr:row>
                <xdr:rowOff>114300</xdr:rowOff>
              </to>
            </anchor>
          </controlPr>
        </control>
      </mc:Choice>
      <mc:Fallback>
        <control shapeId="6275" r:id="rId4" name="BtnInsertNewLine"/>
      </mc:Fallback>
    </mc:AlternateContent>
    <mc:AlternateContent xmlns:mc="http://schemas.openxmlformats.org/markup-compatibility/2006">
      <mc:Choice Requires="x14">
        <control shapeId="6274" r:id="rId6" name="BtnInsertNewLineAtEnd">
          <controlPr defaultSize="0" autoLine="0" autoPict="0" r:id="rId7">
            <anchor moveWithCells="1">
              <from>
                <xdr:col>4</xdr:col>
                <xdr:colOff>1173480</xdr:colOff>
                <xdr:row>1</xdr:row>
                <xdr:rowOff>7620</xdr:rowOff>
              </from>
              <to>
                <xdr:col>5</xdr:col>
                <xdr:colOff>358140</xdr:colOff>
                <xdr:row>2</xdr:row>
                <xdr:rowOff>114300</xdr:rowOff>
              </to>
            </anchor>
          </controlPr>
        </control>
      </mc:Choice>
      <mc:Fallback>
        <control shapeId="6274" r:id="rId6" name="BtnInsertNewLineAtEnd"/>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H51"/>
  <sheetViews>
    <sheetView tabSelected="1" topLeftCell="A19" workbookViewId="0">
      <selection activeCell="S4" sqref="S4:AY198"/>
    </sheetView>
  </sheetViews>
  <sheetFormatPr defaultColWidth="9.109375" defaultRowHeight="13.2" x14ac:dyDescent="0.25"/>
  <cols>
    <col min="1" max="1" width="9.109375" style="6"/>
    <col min="2" max="2" width="9.44140625" style="6" customWidth="1"/>
    <col min="3" max="4" width="9.109375" style="6"/>
    <col min="5" max="28" width="9.33203125" style="6" bestFit="1" customWidth="1"/>
    <col min="29" max="29" width="9.6640625" style="6" customWidth="1"/>
    <col min="30" max="34" width="9.33203125" style="6" bestFit="1" customWidth="1"/>
    <col min="35" max="16384" width="9.109375" style="6"/>
  </cols>
  <sheetData>
    <row r="1" spans="1:1" x14ac:dyDescent="0.25">
      <c r="A1" s="138"/>
    </row>
    <row r="19" spans="1:18" x14ac:dyDescent="0.25">
      <c r="A19" s="145" t="str">
        <f>IF(SkipWeekends, "Working Day", "Calendar Day")</f>
        <v>Calendar Day</v>
      </c>
      <c r="B19" s="146"/>
      <c r="C19" s="147"/>
      <c r="D19" s="147"/>
      <c r="E19" s="147">
        <v>1</v>
      </c>
      <c r="F19" s="147">
        <v>2</v>
      </c>
      <c r="G19" s="147">
        <v>3</v>
      </c>
      <c r="H19" s="147">
        <v>4</v>
      </c>
      <c r="I19" s="147">
        <v>5</v>
      </c>
      <c r="J19" s="147">
        <v>6</v>
      </c>
      <c r="K19" s="147">
        <v>7</v>
      </c>
      <c r="L19" s="147">
        <v>8</v>
      </c>
      <c r="M19" s="147">
        <v>9</v>
      </c>
      <c r="N19" s="147">
        <v>10</v>
      </c>
      <c r="O19" s="147">
        <v>11</v>
      </c>
      <c r="P19" s="147">
        <v>12</v>
      </c>
      <c r="Q19" s="147">
        <v>13</v>
      </c>
      <c r="R19" s="147">
        <v>14</v>
      </c>
    </row>
    <row r="20" spans="1:18" x14ac:dyDescent="0.25">
      <c r="A20" s="145" t="s">
        <v>21</v>
      </c>
      <c r="B20" s="146"/>
      <c r="C20" s="147"/>
      <c r="D20" s="147"/>
      <c r="E20" s="148">
        <f t="shared" ref="E20:R20" si="0">INDEX(SprintDates,1,(E19-1)*BurndownColumns+1)</f>
        <v>39314</v>
      </c>
      <c r="F20" s="148">
        <f t="shared" si="0"/>
        <v>39315</v>
      </c>
      <c r="G20" s="148">
        <f t="shared" si="0"/>
        <v>39316</v>
      </c>
      <c r="H20" s="148">
        <f t="shared" si="0"/>
        <v>39317</v>
      </c>
      <c r="I20" s="148">
        <f t="shared" si="0"/>
        <v>39318</v>
      </c>
      <c r="J20" s="148">
        <f t="shared" si="0"/>
        <v>39319</v>
      </c>
      <c r="K20" s="148">
        <f t="shared" si="0"/>
        <v>39320</v>
      </c>
      <c r="L20" s="148">
        <f t="shared" si="0"/>
        <v>39321</v>
      </c>
      <c r="M20" s="148">
        <f t="shared" si="0"/>
        <v>39322</v>
      </c>
      <c r="N20" s="148">
        <f t="shared" si="0"/>
        <v>39323</v>
      </c>
      <c r="O20" s="148">
        <f t="shared" si="0"/>
        <v>39324</v>
      </c>
      <c r="P20" s="148">
        <f t="shared" si="0"/>
        <v>39325</v>
      </c>
      <c r="Q20" s="148">
        <f t="shared" si="0"/>
        <v>39326</v>
      </c>
      <c r="R20" s="148">
        <f t="shared" si="0"/>
        <v>39327</v>
      </c>
    </row>
    <row r="21" spans="1:18" x14ac:dyDescent="0.25">
      <c r="A21" s="145"/>
      <c r="B21" s="146"/>
      <c r="C21" s="147"/>
      <c r="D21" s="147"/>
      <c r="E21" s="148"/>
      <c r="F21" s="148"/>
      <c r="G21" s="148"/>
      <c r="H21" s="148"/>
      <c r="I21" s="148"/>
      <c r="J21" s="148"/>
      <c r="K21" s="148"/>
      <c r="L21" s="148"/>
      <c r="M21" s="148"/>
      <c r="N21" s="148"/>
      <c r="O21" s="148"/>
      <c r="P21" s="148"/>
      <c r="Q21" s="148"/>
      <c r="R21" s="148"/>
    </row>
    <row r="22" spans="1:18" x14ac:dyDescent="0.25">
      <c r="A22" s="145" t="s">
        <v>8</v>
      </c>
      <c r="B22" s="147"/>
      <c r="C22" s="147"/>
      <c r="D22" s="149"/>
      <c r="E22" s="147">
        <v>482</v>
      </c>
      <c r="F22" s="147">
        <v>482</v>
      </c>
      <c r="G22" s="147">
        <v>482</v>
      </c>
      <c r="H22" s="147">
        <v>482</v>
      </c>
      <c r="I22" s="147">
        <v>482</v>
      </c>
      <c r="J22" s="147">
        <v>482</v>
      </c>
      <c r="K22" s="147">
        <v>482</v>
      </c>
      <c r="L22" s="147">
        <v>482</v>
      </c>
      <c r="M22" s="147">
        <v>482</v>
      </c>
      <c r="N22" s="147">
        <v>482</v>
      </c>
      <c r="O22" s="147">
        <v>482</v>
      </c>
      <c r="P22" s="147">
        <v>482</v>
      </c>
      <c r="Q22" s="147">
        <v>482</v>
      </c>
      <c r="R22" s="147">
        <v>482</v>
      </c>
    </row>
    <row r="23" spans="1:18" x14ac:dyDescent="0.25">
      <c r="A23" s="145" t="s">
        <v>20</v>
      </c>
      <c r="B23" s="147"/>
      <c r="C23" s="147"/>
      <c r="D23" s="149"/>
      <c r="E23" s="147">
        <v>8</v>
      </c>
      <c r="F23" s="147">
        <v>8</v>
      </c>
      <c r="G23" s="147">
        <v>8</v>
      </c>
      <c r="H23" s="147">
        <v>8</v>
      </c>
      <c r="I23" s="147">
        <v>8</v>
      </c>
      <c r="J23" s="147">
        <v>8</v>
      </c>
      <c r="K23" s="147">
        <v>8</v>
      </c>
      <c r="L23" s="147">
        <v>8</v>
      </c>
      <c r="M23" s="147">
        <v>8</v>
      </c>
      <c r="N23" s="147">
        <v>8</v>
      </c>
      <c r="O23" s="147">
        <v>8</v>
      </c>
      <c r="P23" s="147">
        <v>8</v>
      </c>
      <c r="Q23" s="147">
        <v>8</v>
      </c>
      <c r="R23" s="147">
        <v>8</v>
      </c>
    </row>
    <row r="24" spans="1:18" x14ac:dyDescent="0.25">
      <c r="A24" s="145" t="s">
        <v>3</v>
      </c>
      <c r="B24" s="147"/>
      <c r="C24" s="147"/>
      <c r="D24" s="149"/>
      <c r="E24" s="147">
        <f ca="1">IF(E20&gt;TODAY(), #N/A, SUM($E23:E23))</f>
        <v>8</v>
      </c>
      <c r="F24" s="147">
        <f ca="1">IF(F20&gt;TODAY(), #N/A, SUM($E23:F23))</f>
        <v>16</v>
      </c>
      <c r="G24" s="147">
        <f ca="1">IF(G20&gt;TODAY(), #N/A, SUM($E23:G23))</f>
        <v>24</v>
      </c>
      <c r="H24" s="147">
        <f ca="1">IF(H20&gt;TODAY(), #N/A, SUM($E23:H23))</f>
        <v>32</v>
      </c>
      <c r="I24" s="147">
        <f ca="1">IF(I20&gt;TODAY(), #N/A, SUM($E23:I23))</f>
        <v>40</v>
      </c>
      <c r="J24" s="147">
        <f ca="1">IF(J20&gt;TODAY(), #N/A, SUM($E23:J23))</f>
        <v>48</v>
      </c>
      <c r="K24" s="147">
        <f ca="1">IF(K20&gt;TODAY(), #N/A, SUM($E23:K23))</f>
        <v>56</v>
      </c>
      <c r="L24" s="147">
        <f ca="1">IF(L20&gt;TODAY(), #N/A, SUM($E23:L23))</f>
        <v>64</v>
      </c>
      <c r="M24" s="147">
        <f ca="1">IF(M20&gt;TODAY(), #N/A, SUM($E23:M23))</f>
        <v>72</v>
      </c>
      <c r="N24" s="147">
        <f ca="1">IF(N20&gt;TODAY(), #N/A, SUM($E23:N23))</f>
        <v>80</v>
      </c>
      <c r="O24" s="147">
        <f ca="1">IF(O20&gt;TODAY(), #N/A, SUM($E23:O23))</f>
        <v>88</v>
      </c>
      <c r="P24" s="147">
        <f ca="1">IF(P20&gt;TODAY(), #N/A, SUM($E23:P23))</f>
        <v>96</v>
      </c>
      <c r="Q24" s="147">
        <f ca="1">IF(Q20&gt;TODAY(), #N/A, SUM($E23:Q23))</f>
        <v>104</v>
      </c>
      <c r="R24" s="147">
        <f ca="1">IF(R20&gt;TODAY(), #N/A, SUM($E23:R23))</f>
        <v>112</v>
      </c>
    </row>
    <row r="25" spans="1:18" x14ac:dyDescent="0.25">
      <c r="A25" s="145" t="s">
        <v>22</v>
      </c>
      <c r="B25" s="147"/>
      <c r="C25" s="147"/>
      <c r="D25" s="149"/>
      <c r="E25" s="147">
        <f t="shared" ref="E25:R25" ca="1" si="1">IF(E20&gt;TODAY(), #N/A, E22+E24)</f>
        <v>490</v>
      </c>
      <c r="F25" s="147">
        <f t="shared" ca="1" si="1"/>
        <v>498</v>
      </c>
      <c r="G25" s="147">
        <f t="shared" ca="1" si="1"/>
        <v>506</v>
      </c>
      <c r="H25" s="147">
        <f t="shared" ca="1" si="1"/>
        <v>514</v>
      </c>
      <c r="I25" s="147">
        <f t="shared" ca="1" si="1"/>
        <v>522</v>
      </c>
      <c r="J25" s="147">
        <f t="shared" ca="1" si="1"/>
        <v>530</v>
      </c>
      <c r="K25" s="147">
        <f t="shared" ca="1" si="1"/>
        <v>538</v>
      </c>
      <c r="L25" s="147">
        <f t="shared" ca="1" si="1"/>
        <v>546</v>
      </c>
      <c r="M25" s="147">
        <f t="shared" ca="1" si="1"/>
        <v>554</v>
      </c>
      <c r="N25" s="147">
        <f t="shared" ca="1" si="1"/>
        <v>562</v>
      </c>
      <c r="O25" s="147">
        <f t="shared" ca="1" si="1"/>
        <v>570</v>
      </c>
      <c r="P25" s="147">
        <f t="shared" ca="1" si="1"/>
        <v>578</v>
      </c>
      <c r="Q25" s="147">
        <f t="shared" ca="1" si="1"/>
        <v>586</v>
      </c>
      <c r="R25" s="147">
        <f t="shared" ca="1" si="1"/>
        <v>594</v>
      </c>
    </row>
    <row r="26" spans="1:18" x14ac:dyDescent="0.25">
      <c r="A26" s="145"/>
      <c r="B26" s="147"/>
      <c r="C26" s="147"/>
      <c r="D26" s="149"/>
      <c r="E26" s="147"/>
      <c r="F26" s="147"/>
      <c r="G26" s="147"/>
      <c r="H26" s="147"/>
      <c r="I26" s="147"/>
      <c r="J26" s="147"/>
      <c r="K26" s="147"/>
      <c r="L26" s="147"/>
      <c r="M26" s="147"/>
      <c r="N26" s="147"/>
      <c r="O26" s="147"/>
      <c r="P26" s="147"/>
      <c r="Q26" s="147"/>
      <c r="R26" s="147"/>
    </row>
    <row r="27" spans="1:18" x14ac:dyDescent="0.25">
      <c r="A27" s="145" t="s">
        <v>4</v>
      </c>
      <c r="B27" s="147"/>
      <c r="C27" s="147"/>
      <c r="D27" s="149"/>
      <c r="E27" s="150">
        <f t="shared" ref="E27:R27" ca="1" si="2">IF(E20&gt;TODAY(), #N/A, E24/E19)</f>
        <v>8</v>
      </c>
      <c r="F27" s="150">
        <f t="shared" ca="1" si="2"/>
        <v>8</v>
      </c>
      <c r="G27" s="150">
        <f t="shared" ca="1" si="2"/>
        <v>8</v>
      </c>
      <c r="H27" s="150">
        <f t="shared" ca="1" si="2"/>
        <v>8</v>
      </c>
      <c r="I27" s="150">
        <f t="shared" ca="1" si="2"/>
        <v>8</v>
      </c>
      <c r="J27" s="150">
        <f t="shared" ca="1" si="2"/>
        <v>8</v>
      </c>
      <c r="K27" s="150">
        <f t="shared" ca="1" si="2"/>
        <v>8</v>
      </c>
      <c r="L27" s="150">
        <f t="shared" ca="1" si="2"/>
        <v>8</v>
      </c>
      <c r="M27" s="150">
        <f t="shared" ca="1" si="2"/>
        <v>8</v>
      </c>
      <c r="N27" s="150">
        <f t="shared" ca="1" si="2"/>
        <v>8</v>
      </c>
      <c r="O27" s="150">
        <f t="shared" ca="1" si="2"/>
        <v>8</v>
      </c>
      <c r="P27" s="150">
        <f t="shared" ca="1" si="2"/>
        <v>8</v>
      </c>
      <c r="Q27" s="150">
        <f t="shared" ca="1" si="2"/>
        <v>8</v>
      </c>
      <c r="R27" s="150">
        <f t="shared" ca="1" si="2"/>
        <v>8</v>
      </c>
    </row>
    <row r="28" spans="1:18" x14ac:dyDescent="0.25">
      <c r="A28" s="145" t="s">
        <v>5</v>
      </c>
      <c r="B28" s="147"/>
      <c r="C28" s="147"/>
      <c r="D28" s="149"/>
      <c r="E28" s="148">
        <f t="shared" ref="E28:R28" ca="1" si="3">IF(E20&gt;TODAY(), #N/A, IF(E27=0, SprintStart, E20 + (E22/E27)))</f>
        <v>39374.25</v>
      </c>
      <c r="F28" s="148">
        <f t="shared" ca="1" si="3"/>
        <v>39375.25</v>
      </c>
      <c r="G28" s="148">
        <f t="shared" ca="1" si="3"/>
        <v>39376.25</v>
      </c>
      <c r="H28" s="148">
        <f t="shared" ca="1" si="3"/>
        <v>39377.25</v>
      </c>
      <c r="I28" s="148">
        <f t="shared" ca="1" si="3"/>
        <v>39378.25</v>
      </c>
      <c r="J28" s="148">
        <f t="shared" ca="1" si="3"/>
        <v>39379.25</v>
      </c>
      <c r="K28" s="148">
        <f t="shared" ca="1" si="3"/>
        <v>39380.25</v>
      </c>
      <c r="L28" s="148">
        <f t="shared" ca="1" si="3"/>
        <v>39381.25</v>
      </c>
      <c r="M28" s="148">
        <f t="shared" ca="1" si="3"/>
        <v>39382.25</v>
      </c>
      <c r="N28" s="148">
        <f t="shared" ca="1" si="3"/>
        <v>39383.25</v>
      </c>
      <c r="O28" s="148">
        <f t="shared" ca="1" si="3"/>
        <v>39384.25</v>
      </c>
      <c r="P28" s="148">
        <f t="shared" ca="1" si="3"/>
        <v>39385.25</v>
      </c>
      <c r="Q28" s="148">
        <f t="shared" ca="1" si="3"/>
        <v>39386.25</v>
      </c>
      <c r="R28" s="148">
        <f t="shared" ca="1" si="3"/>
        <v>39387.25</v>
      </c>
    </row>
    <row r="29" spans="1:18" x14ac:dyDescent="0.25">
      <c r="A29" s="145" t="s">
        <v>31</v>
      </c>
      <c r="B29" s="147"/>
      <c r="C29" s="147"/>
      <c r="D29" s="149"/>
      <c r="E29" s="148">
        <f t="shared" ref="E29:R29" ca="1" si="4">IF(E$20&gt;TODAY(), #N/A, IF(E$33&gt;0, SprintStart+((E$25*E$19)/E$33)-1, SprintStart))</f>
        <v>39314</v>
      </c>
      <c r="F29" s="148">
        <f t="shared" ca="1" si="4"/>
        <v>39314</v>
      </c>
      <c r="G29" s="148">
        <f t="shared" ca="1" si="4"/>
        <v>39314</v>
      </c>
      <c r="H29" s="148">
        <f t="shared" ca="1" si="4"/>
        <v>39314</v>
      </c>
      <c r="I29" s="148">
        <f t="shared" ca="1" si="4"/>
        <v>39314</v>
      </c>
      <c r="J29" s="148">
        <f t="shared" ca="1" si="4"/>
        <v>39314</v>
      </c>
      <c r="K29" s="148">
        <f t="shared" ca="1" si="4"/>
        <v>39314</v>
      </c>
      <c r="L29" s="148">
        <f t="shared" ca="1" si="4"/>
        <v>39314</v>
      </c>
      <c r="M29" s="148">
        <f t="shared" ca="1" si="4"/>
        <v>39314</v>
      </c>
      <c r="N29" s="148">
        <f t="shared" ca="1" si="4"/>
        <v>39314</v>
      </c>
      <c r="O29" s="148">
        <f t="shared" ca="1" si="4"/>
        <v>39314</v>
      </c>
      <c r="P29" s="148">
        <f t="shared" ca="1" si="4"/>
        <v>39314</v>
      </c>
      <c r="Q29" s="148">
        <f t="shared" ca="1" si="4"/>
        <v>39314</v>
      </c>
      <c r="R29" s="148">
        <f t="shared" ca="1" si="4"/>
        <v>39314</v>
      </c>
    </row>
    <row r="30" spans="1:18" x14ac:dyDescent="0.25">
      <c r="A30" s="145"/>
      <c r="B30" s="147"/>
      <c r="C30" s="147"/>
      <c r="D30" s="149"/>
      <c r="E30" s="147"/>
      <c r="F30" s="147"/>
      <c r="G30" s="147"/>
      <c r="H30" s="147"/>
      <c r="I30" s="147"/>
      <c r="J30" s="147"/>
      <c r="K30" s="147"/>
      <c r="L30" s="147"/>
      <c r="M30" s="147"/>
      <c r="N30" s="147"/>
      <c r="O30" s="147"/>
      <c r="P30" s="147"/>
      <c r="Q30" s="147"/>
      <c r="R30" s="147"/>
    </row>
    <row r="31" spans="1:18" x14ac:dyDescent="0.25">
      <c r="A31" s="145" t="s">
        <v>27</v>
      </c>
      <c r="B31" s="147"/>
      <c r="C31" s="147"/>
      <c r="D31" s="149"/>
      <c r="E31" s="147">
        <f t="shared" ref="E31:R31" ca="1" si="5">IF(E$20&gt;TODAY(), #N/A, SUMIF(INDEX(Burndown,,(E$19-1)*BurndownColumns+StatusColumn), "=Pending",INDEX(Burndown,,(E$19-1)*BurndownColumns+HoursLeftColumn)))</f>
        <v>0</v>
      </c>
      <c r="F31" s="147">
        <f t="shared" ca="1" si="5"/>
        <v>0</v>
      </c>
      <c r="G31" s="147">
        <f t="shared" ca="1" si="5"/>
        <v>0</v>
      </c>
      <c r="H31" s="147">
        <f t="shared" ca="1" si="5"/>
        <v>0</v>
      </c>
      <c r="I31" s="147">
        <f t="shared" ca="1" si="5"/>
        <v>0</v>
      </c>
      <c r="J31" s="147">
        <f t="shared" ca="1" si="5"/>
        <v>0</v>
      </c>
      <c r="K31" s="147">
        <f t="shared" ca="1" si="5"/>
        <v>0</v>
      </c>
      <c r="L31" s="147">
        <f t="shared" ca="1" si="5"/>
        <v>0</v>
      </c>
      <c r="M31" s="147">
        <f t="shared" ca="1" si="5"/>
        <v>0</v>
      </c>
      <c r="N31" s="147">
        <f t="shared" ca="1" si="5"/>
        <v>0</v>
      </c>
      <c r="O31" s="147">
        <f t="shared" ca="1" si="5"/>
        <v>0</v>
      </c>
      <c r="P31" s="147">
        <f t="shared" ca="1" si="5"/>
        <v>0</v>
      </c>
      <c r="Q31" s="147">
        <f t="shared" ca="1" si="5"/>
        <v>0</v>
      </c>
      <c r="R31" s="147">
        <f t="shared" ca="1" si="5"/>
        <v>0</v>
      </c>
    </row>
    <row r="32" spans="1:18" x14ac:dyDescent="0.25">
      <c r="A32" s="145" t="s">
        <v>28</v>
      </c>
      <c r="B32" s="147"/>
      <c r="C32" s="147"/>
      <c r="D32" s="149"/>
      <c r="E32" s="151">
        <f t="shared" ref="E32:R32" ca="1" si="6">E$22-E$31+E$24-E$33</f>
        <v>490</v>
      </c>
      <c r="F32" s="151">
        <f t="shared" ca="1" si="6"/>
        <v>498</v>
      </c>
      <c r="G32" s="151">
        <f t="shared" ca="1" si="6"/>
        <v>506</v>
      </c>
      <c r="H32" s="151">
        <f t="shared" ca="1" si="6"/>
        <v>514</v>
      </c>
      <c r="I32" s="151">
        <f t="shared" ca="1" si="6"/>
        <v>522</v>
      </c>
      <c r="J32" s="151">
        <f t="shared" ca="1" si="6"/>
        <v>530</v>
      </c>
      <c r="K32" s="151">
        <f t="shared" ca="1" si="6"/>
        <v>538</v>
      </c>
      <c r="L32" s="151">
        <f t="shared" ca="1" si="6"/>
        <v>546</v>
      </c>
      <c r="M32" s="151">
        <f t="shared" ca="1" si="6"/>
        <v>554</v>
      </c>
      <c r="N32" s="151">
        <f t="shared" ca="1" si="6"/>
        <v>562</v>
      </c>
      <c r="O32" s="151">
        <f t="shared" ca="1" si="6"/>
        <v>570</v>
      </c>
      <c r="P32" s="151">
        <f t="shared" ca="1" si="6"/>
        <v>578</v>
      </c>
      <c r="Q32" s="151">
        <f t="shared" ca="1" si="6"/>
        <v>586</v>
      </c>
      <c r="R32" s="151">
        <f t="shared" ca="1" si="6"/>
        <v>594</v>
      </c>
    </row>
    <row r="33" spans="1:34" x14ac:dyDescent="0.25">
      <c r="A33" s="145" t="s">
        <v>29</v>
      </c>
      <c r="B33" s="147"/>
      <c r="C33" s="147"/>
      <c r="D33" s="149"/>
      <c r="E33" s="147">
        <f t="shared" ref="E33:R33" ca="1" si="7">IF(E$20&gt;TODAY(), #N/A, SUMIF(INDEX(Burndown,,(E$19-1)*BurndownColumns+StatusColumn), "=Complete",TotalEffort))</f>
        <v>0</v>
      </c>
      <c r="F33" s="147">
        <f t="shared" ca="1" si="7"/>
        <v>0</v>
      </c>
      <c r="G33" s="147">
        <f t="shared" ca="1" si="7"/>
        <v>0</v>
      </c>
      <c r="H33" s="147">
        <f t="shared" ca="1" si="7"/>
        <v>0</v>
      </c>
      <c r="I33" s="147">
        <f t="shared" ca="1" si="7"/>
        <v>0</v>
      </c>
      <c r="J33" s="147">
        <f t="shared" ca="1" si="7"/>
        <v>0</v>
      </c>
      <c r="K33" s="147">
        <f t="shared" ca="1" si="7"/>
        <v>0</v>
      </c>
      <c r="L33" s="147">
        <f t="shared" ca="1" si="7"/>
        <v>0</v>
      </c>
      <c r="M33" s="147">
        <f t="shared" ca="1" si="7"/>
        <v>0</v>
      </c>
      <c r="N33" s="147">
        <f t="shared" ca="1" si="7"/>
        <v>0</v>
      </c>
      <c r="O33" s="147">
        <f t="shared" ca="1" si="7"/>
        <v>0</v>
      </c>
      <c r="P33" s="147">
        <f t="shared" ca="1" si="7"/>
        <v>0</v>
      </c>
      <c r="Q33" s="147">
        <f t="shared" ca="1" si="7"/>
        <v>0</v>
      </c>
      <c r="R33" s="147">
        <f t="shared" ca="1" si="7"/>
        <v>0</v>
      </c>
    </row>
    <row r="34" spans="1:34" x14ac:dyDescent="0.25">
      <c r="A34" s="145"/>
      <c r="B34" s="147"/>
      <c r="C34" s="147"/>
      <c r="D34" s="149"/>
      <c r="E34" s="147"/>
      <c r="F34" s="147"/>
      <c r="G34" s="147"/>
      <c r="H34" s="147"/>
      <c r="I34" s="147"/>
      <c r="J34" s="147"/>
      <c r="K34" s="147"/>
      <c r="L34" s="147"/>
      <c r="M34" s="147"/>
      <c r="N34" s="147"/>
      <c r="O34" s="147"/>
      <c r="P34" s="147"/>
      <c r="Q34" s="147"/>
      <c r="R34" s="147"/>
    </row>
    <row r="35" spans="1:34" x14ac:dyDescent="0.25">
      <c r="A35" s="145" t="s">
        <v>10</v>
      </c>
      <c r="B35" s="147"/>
      <c r="C35" s="147"/>
      <c r="D35" s="149"/>
      <c r="E35" s="147">
        <f t="shared" ref="E35:R35" ca="1" si="8">IF(E20&gt;TODAY(), #N/A, COUNTIF(INDEX(Burndown,,(E19-1)*BurndownColumns+StatusColumn), "=Pending"))</f>
        <v>0</v>
      </c>
      <c r="F35" s="147">
        <f t="shared" ca="1" si="8"/>
        <v>0</v>
      </c>
      <c r="G35" s="147">
        <f t="shared" ca="1" si="8"/>
        <v>0</v>
      </c>
      <c r="H35" s="147">
        <f t="shared" ca="1" si="8"/>
        <v>0</v>
      </c>
      <c r="I35" s="147">
        <f t="shared" ca="1" si="8"/>
        <v>0</v>
      </c>
      <c r="J35" s="147">
        <f t="shared" ca="1" si="8"/>
        <v>0</v>
      </c>
      <c r="K35" s="147">
        <f t="shared" ca="1" si="8"/>
        <v>0</v>
      </c>
      <c r="L35" s="147">
        <f t="shared" ca="1" si="8"/>
        <v>0</v>
      </c>
      <c r="M35" s="147">
        <f t="shared" ca="1" si="8"/>
        <v>0</v>
      </c>
      <c r="N35" s="147">
        <f t="shared" ca="1" si="8"/>
        <v>0</v>
      </c>
      <c r="O35" s="147">
        <f t="shared" ca="1" si="8"/>
        <v>0</v>
      </c>
      <c r="P35" s="147">
        <f t="shared" ca="1" si="8"/>
        <v>0</v>
      </c>
      <c r="Q35" s="147">
        <f t="shared" ca="1" si="8"/>
        <v>0</v>
      </c>
      <c r="R35" s="147">
        <f t="shared" ca="1" si="8"/>
        <v>0</v>
      </c>
    </row>
    <row r="36" spans="1:34" x14ac:dyDescent="0.25">
      <c r="A36" s="145" t="s">
        <v>6</v>
      </c>
      <c r="B36" s="147"/>
      <c r="C36" s="147"/>
      <c r="D36" s="149"/>
      <c r="E36" s="147">
        <f t="shared" ref="E36:R36" ca="1" si="9">IF(E20&gt;TODAY(), #N/A, COUNTIF(INDEX(Burndown,,(E19-1)*BurndownColumns+StatusColumn), "=In Progress"))</f>
        <v>0</v>
      </c>
      <c r="F36" s="147">
        <f t="shared" ca="1" si="9"/>
        <v>0</v>
      </c>
      <c r="G36" s="147">
        <f t="shared" ca="1" si="9"/>
        <v>0</v>
      </c>
      <c r="H36" s="147">
        <f t="shared" ca="1" si="9"/>
        <v>0</v>
      </c>
      <c r="I36" s="147">
        <f t="shared" ca="1" si="9"/>
        <v>0</v>
      </c>
      <c r="J36" s="147">
        <f t="shared" ca="1" si="9"/>
        <v>0</v>
      </c>
      <c r="K36" s="147">
        <f t="shared" ca="1" si="9"/>
        <v>0</v>
      </c>
      <c r="L36" s="147">
        <f t="shared" ca="1" si="9"/>
        <v>0</v>
      </c>
      <c r="M36" s="147">
        <f t="shared" ca="1" si="9"/>
        <v>0</v>
      </c>
      <c r="N36" s="147">
        <f t="shared" ca="1" si="9"/>
        <v>0</v>
      </c>
      <c r="O36" s="147">
        <f t="shared" ca="1" si="9"/>
        <v>0</v>
      </c>
      <c r="P36" s="147">
        <f t="shared" ca="1" si="9"/>
        <v>0</v>
      </c>
      <c r="Q36" s="147">
        <f t="shared" ca="1" si="9"/>
        <v>0</v>
      </c>
      <c r="R36" s="147">
        <f t="shared" ca="1" si="9"/>
        <v>0</v>
      </c>
    </row>
    <row r="37" spans="1:34" x14ac:dyDescent="0.25">
      <c r="A37" s="145" t="s">
        <v>7</v>
      </c>
      <c r="B37" s="147"/>
      <c r="C37" s="147"/>
      <c r="D37" s="149"/>
      <c r="E37" s="147">
        <f t="shared" ref="E37:R37" ca="1" si="10">IF(E20&gt;TODAY(), #N/A, COUNTIF(INDEX(Burndown,,(E19-1)*BurndownColumns+StatusColumn), "=Complete"))</f>
        <v>0</v>
      </c>
      <c r="F37" s="147">
        <f t="shared" ca="1" si="10"/>
        <v>0</v>
      </c>
      <c r="G37" s="147">
        <f t="shared" ca="1" si="10"/>
        <v>0</v>
      </c>
      <c r="H37" s="147">
        <f t="shared" ca="1" si="10"/>
        <v>0</v>
      </c>
      <c r="I37" s="147">
        <f t="shared" ca="1" si="10"/>
        <v>0</v>
      </c>
      <c r="J37" s="147">
        <f t="shared" ca="1" si="10"/>
        <v>0</v>
      </c>
      <c r="K37" s="147">
        <f t="shared" ca="1" si="10"/>
        <v>0</v>
      </c>
      <c r="L37" s="147">
        <f t="shared" ca="1" si="10"/>
        <v>0</v>
      </c>
      <c r="M37" s="147">
        <f t="shared" ca="1" si="10"/>
        <v>0</v>
      </c>
      <c r="N37" s="147">
        <f t="shared" ca="1" si="10"/>
        <v>0</v>
      </c>
      <c r="O37" s="147">
        <f t="shared" ca="1" si="10"/>
        <v>0</v>
      </c>
      <c r="P37" s="147">
        <f t="shared" ca="1" si="10"/>
        <v>0</v>
      </c>
      <c r="Q37" s="147">
        <f t="shared" ca="1" si="10"/>
        <v>0</v>
      </c>
      <c r="R37" s="147">
        <f t="shared" ca="1" si="10"/>
        <v>0</v>
      </c>
    </row>
    <row r="38" spans="1:34" x14ac:dyDescent="0.25">
      <c r="A38" s="139"/>
      <c r="B38" s="139"/>
      <c r="C38" s="139"/>
      <c r="D38" s="139"/>
      <c r="E38" s="139"/>
      <c r="F38" s="139"/>
      <c r="H38" s="139"/>
      <c r="I38" s="139"/>
      <c r="J38" s="139"/>
      <c r="K38" s="139"/>
      <c r="L38" s="139"/>
      <c r="M38" s="139"/>
      <c r="N38" s="139"/>
      <c r="O38" s="139"/>
      <c r="P38" s="139"/>
      <c r="Q38" s="139"/>
      <c r="R38" s="139"/>
      <c r="S38" s="139"/>
      <c r="T38" s="139"/>
      <c r="U38" s="139"/>
      <c r="V38" s="139"/>
      <c r="W38" s="139"/>
      <c r="X38" s="139"/>
      <c r="Y38" s="139"/>
      <c r="Z38" s="139"/>
      <c r="AA38" s="139"/>
      <c r="AB38" s="139"/>
      <c r="AC38" s="139"/>
      <c r="AD38" s="139"/>
      <c r="AE38" s="139"/>
      <c r="AF38" s="139"/>
      <c r="AG38" s="139"/>
      <c r="AH38" s="139"/>
    </row>
    <row r="39" spans="1:34" x14ac:dyDescent="0.25">
      <c r="A39" s="145" t="s">
        <v>25</v>
      </c>
      <c r="B39" s="147"/>
      <c r="C39" s="147"/>
      <c r="D39" s="147"/>
      <c r="E39" s="147"/>
      <c r="F39" s="147"/>
      <c r="G39" s="145" t="s">
        <v>24</v>
      </c>
      <c r="H39" s="139"/>
      <c r="I39" s="139"/>
      <c r="J39" s="139"/>
      <c r="K39" s="139"/>
      <c r="L39" s="139"/>
      <c r="M39" s="139"/>
      <c r="N39" s="139"/>
      <c r="O39" s="139"/>
      <c r="P39" s="139"/>
      <c r="Q39" s="139"/>
      <c r="R39" s="139"/>
      <c r="S39" s="139"/>
      <c r="T39" s="139"/>
      <c r="U39" s="139"/>
      <c r="V39" s="139"/>
      <c r="W39" s="139"/>
      <c r="X39" s="139"/>
      <c r="Y39" s="139"/>
      <c r="Z39" s="139"/>
      <c r="AA39" s="139"/>
      <c r="AB39" s="139"/>
      <c r="AC39" s="139"/>
      <c r="AD39" s="139"/>
      <c r="AE39" s="139"/>
      <c r="AF39" s="139"/>
      <c r="AG39" s="139"/>
      <c r="AH39" s="139"/>
    </row>
    <row r="40" spans="1:34" ht="13.5" customHeight="1" x14ac:dyDescent="0.25">
      <c r="A40" s="145"/>
      <c r="B40" s="147" t="s">
        <v>26</v>
      </c>
      <c r="C40" s="147"/>
      <c r="D40" s="147"/>
      <c r="E40" s="147">
        <v>0</v>
      </c>
      <c r="F40" s="147"/>
      <c r="G40" s="147" t="s">
        <v>86</v>
      </c>
      <c r="H40" s="139"/>
      <c r="I40" s="139"/>
      <c r="J40" s="139"/>
      <c r="K40" s="139"/>
      <c r="L40" s="139"/>
      <c r="M40" s="139"/>
      <c r="N40" s="139"/>
      <c r="O40" s="139"/>
      <c r="P40" s="139"/>
      <c r="Q40" s="139"/>
      <c r="R40" s="139"/>
      <c r="S40" s="139"/>
      <c r="T40" s="139"/>
      <c r="U40" s="139"/>
      <c r="V40" s="139"/>
      <c r="W40" s="139"/>
      <c r="X40" s="139"/>
      <c r="Y40" s="139"/>
      <c r="Z40" s="139"/>
      <c r="AA40" s="139"/>
      <c r="AB40" s="139"/>
      <c r="AC40" s="139"/>
      <c r="AD40" s="139"/>
      <c r="AE40" s="139"/>
      <c r="AF40" s="139"/>
      <c r="AG40" s="139"/>
      <c r="AH40" s="139"/>
    </row>
    <row r="41" spans="1:34" ht="13.5" customHeight="1" x14ac:dyDescent="0.25">
      <c r="A41" s="145"/>
      <c r="B41" s="147" t="s">
        <v>87</v>
      </c>
      <c r="C41" s="147"/>
      <c r="D41" s="147"/>
      <c r="E41" s="147">
        <v>0</v>
      </c>
      <c r="F41" s="147"/>
      <c r="G41" s="147" t="s">
        <v>88</v>
      </c>
      <c r="H41" s="139"/>
      <c r="I41" s="139"/>
      <c r="J41" s="139"/>
      <c r="K41" s="139"/>
      <c r="L41" s="139"/>
      <c r="M41" s="139"/>
      <c r="N41" s="139"/>
      <c r="O41" s="139"/>
      <c r="P41" s="139"/>
      <c r="Q41" s="139"/>
      <c r="R41" s="139"/>
      <c r="S41" s="139"/>
      <c r="T41" s="139"/>
      <c r="U41" s="139"/>
      <c r="V41" s="139"/>
      <c r="W41" s="139"/>
      <c r="X41" s="139"/>
      <c r="Y41" s="139"/>
      <c r="Z41" s="139"/>
      <c r="AA41" s="139"/>
      <c r="AB41" s="139"/>
      <c r="AC41" s="139"/>
      <c r="AD41" s="139"/>
      <c r="AE41" s="139"/>
      <c r="AF41" s="139"/>
      <c r="AG41" s="139"/>
      <c r="AH41" s="139"/>
    </row>
    <row r="42" spans="1:34" ht="13.8" x14ac:dyDescent="0.3">
      <c r="A42" s="145"/>
      <c r="B42" s="147"/>
      <c r="C42" s="147"/>
      <c r="D42" s="147"/>
      <c r="E42" s="147"/>
      <c r="F42" s="147"/>
      <c r="G42" s="152"/>
      <c r="H42" s="139"/>
      <c r="I42" s="139"/>
      <c r="J42" s="139"/>
      <c r="K42" s="139"/>
      <c r="L42" s="139"/>
      <c r="M42" s="139"/>
      <c r="N42" s="139"/>
      <c r="O42" s="139"/>
      <c r="P42" s="139"/>
      <c r="Q42" s="139"/>
      <c r="R42" s="139"/>
      <c r="S42" s="139"/>
      <c r="T42" s="139"/>
      <c r="U42" s="139"/>
      <c r="V42" s="139"/>
      <c r="W42" s="139"/>
      <c r="X42" s="139"/>
      <c r="Y42" s="139"/>
      <c r="Z42" s="139"/>
      <c r="AA42" s="139"/>
      <c r="AB42" s="139"/>
      <c r="AC42" s="139"/>
      <c r="AD42" s="139"/>
      <c r="AE42" s="139"/>
      <c r="AF42" s="139"/>
      <c r="AG42" s="139"/>
      <c r="AH42" s="139"/>
    </row>
    <row r="43" spans="1:34" x14ac:dyDescent="0.25">
      <c r="A43" s="145" t="s">
        <v>17</v>
      </c>
      <c r="B43" s="147"/>
      <c r="C43" s="147"/>
      <c r="D43" s="147"/>
      <c r="E43" s="147"/>
      <c r="F43" s="147"/>
      <c r="G43" s="147"/>
      <c r="H43" s="139"/>
      <c r="I43" s="139"/>
      <c r="J43" s="139"/>
      <c r="K43" s="139"/>
      <c r="L43" s="139"/>
      <c r="M43" s="139"/>
      <c r="N43" s="139"/>
      <c r="O43" s="139"/>
      <c r="P43" s="139"/>
      <c r="Q43" s="139"/>
      <c r="R43" s="139"/>
      <c r="S43" s="139"/>
      <c r="T43" s="139"/>
      <c r="U43" s="139"/>
      <c r="V43" s="139"/>
      <c r="W43" s="139"/>
      <c r="X43" s="139"/>
      <c r="Y43" s="139"/>
      <c r="Z43" s="139"/>
      <c r="AA43" s="139"/>
      <c r="AB43" s="139"/>
      <c r="AC43" s="139"/>
      <c r="AD43" s="139"/>
      <c r="AE43" s="139"/>
      <c r="AF43" s="139"/>
      <c r="AG43" s="139"/>
      <c r="AH43" s="139"/>
    </row>
    <row r="44" spans="1:34" x14ac:dyDescent="0.25">
      <c r="A44" s="147"/>
      <c r="B44" s="147" t="s">
        <v>15</v>
      </c>
      <c r="C44" s="147"/>
      <c r="D44" s="147"/>
      <c r="E44" s="147">
        <v>3</v>
      </c>
      <c r="F44" s="147"/>
      <c r="G44" s="147"/>
      <c r="H44" s="139"/>
      <c r="I44" s="139"/>
      <c r="J44" s="139"/>
      <c r="K44" s="139"/>
      <c r="L44" s="139"/>
      <c r="M44" s="139"/>
      <c r="N44" s="139"/>
      <c r="O44" s="139"/>
      <c r="P44" s="139"/>
      <c r="Q44" s="139"/>
      <c r="R44" s="139"/>
      <c r="S44" s="139"/>
      <c r="T44" s="139"/>
      <c r="U44" s="139"/>
      <c r="V44" s="139"/>
      <c r="W44" s="139"/>
      <c r="X44" s="139"/>
      <c r="Y44" s="139"/>
      <c r="Z44" s="139"/>
      <c r="AA44" s="139"/>
      <c r="AB44" s="139"/>
      <c r="AC44" s="139"/>
      <c r="AD44" s="139"/>
      <c r="AE44" s="139"/>
      <c r="AF44" s="139"/>
      <c r="AG44" s="139"/>
      <c r="AH44" s="139"/>
    </row>
    <row r="45" spans="1:34" ht="13.8" x14ac:dyDescent="0.3">
      <c r="A45" s="147"/>
      <c r="B45" s="147" t="s">
        <v>19</v>
      </c>
      <c r="C45" s="147"/>
      <c r="D45" s="147"/>
      <c r="E45" s="147">
        <v>1</v>
      </c>
      <c r="F45" s="147"/>
      <c r="G45" s="152"/>
      <c r="H45" s="139"/>
      <c r="I45" s="139"/>
      <c r="J45" s="139"/>
      <c r="K45" s="139"/>
      <c r="L45" s="139"/>
      <c r="M45" s="139"/>
      <c r="N45" s="139"/>
      <c r="O45" s="139"/>
      <c r="P45" s="139"/>
      <c r="Q45" s="139"/>
      <c r="R45" s="139"/>
      <c r="S45" s="139"/>
      <c r="T45" s="139"/>
      <c r="U45" s="139"/>
      <c r="V45" s="139"/>
      <c r="W45" s="139"/>
      <c r="X45" s="139"/>
      <c r="Y45" s="139"/>
      <c r="Z45" s="139"/>
      <c r="AA45" s="139"/>
      <c r="AB45" s="139"/>
      <c r="AC45" s="139"/>
      <c r="AD45" s="139"/>
      <c r="AE45" s="139"/>
      <c r="AF45" s="139"/>
      <c r="AG45" s="139"/>
      <c r="AH45" s="139"/>
    </row>
    <row r="46" spans="1:34" ht="13.8" x14ac:dyDescent="0.3">
      <c r="A46" s="147"/>
      <c r="B46" s="147" t="s">
        <v>18</v>
      </c>
      <c r="C46" s="147"/>
      <c r="D46" s="147"/>
      <c r="E46" s="147">
        <v>2</v>
      </c>
      <c r="F46" s="152"/>
      <c r="G46" s="152"/>
    </row>
    <row r="47" spans="1:34" ht="13.8" x14ac:dyDescent="0.3">
      <c r="A47" s="147"/>
      <c r="B47" s="147" t="s">
        <v>16</v>
      </c>
      <c r="C47" s="147"/>
      <c r="D47" s="147"/>
      <c r="E47" s="147">
        <v>3</v>
      </c>
      <c r="F47" s="152"/>
      <c r="G47" s="152"/>
    </row>
    <row r="48" spans="1:34" x14ac:dyDescent="0.25">
      <c r="A48" s="139"/>
      <c r="C48" s="139"/>
      <c r="D48" s="139"/>
    </row>
    <row r="49" spans="1:1" x14ac:dyDescent="0.25">
      <c r="A49" s="140"/>
    </row>
    <row r="50" spans="1:1" x14ac:dyDescent="0.25">
      <c r="A50" s="139"/>
    </row>
    <row r="51" spans="1:1" x14ac:dyDescent="0.25">
      <c r="A51" s="139"/>
    </row>
  </sheetData>
  <phoneticPr fontId="2" type="noConversion"/>
  <conditionalFormatting sqref="D19:R21">
    <cfRule type="expression" dxfId="25" priority="1" stopIfTrue="1">
      <formula>"I1=TODAY()"</formula>
    </cfRule>
  </conditionalFormatting>
  <pageMargins left="0" right="0" top="0" bottom="0" header="0" footer="0"/>
  <pageSetup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L45"/>
  <sheetViews>
    <sheetView tabSelected="1" zoomScaleNormal="75" workbookViewId="0">
      <pane xSplit="7" ySplit="6" topLeftCell="H7" activePane="bottomRight" state="frozen"/>
      <selection activeCell="S4" sqref="S4:AY198"/>
      <selection pane="topRight" activeCell="S4" sqref="S4:AY198"/>
      <selection pane="bottomLeft" activeCell="S4" sqref="S4:AY198"/>
      <selection pane="bottomRight" activeCell="S4" sqref="S4:AY198"/>
    </sheetView>
  </sheetViews>
  <sheetFormatPr defaultColWidth="9.109375" defaultRowHeight="13.2" x14ac:dyDescent="0.25"/>
  <cols>
    <col min="1" max="1" width="2.33203125" style="36" customWidth="1"/>
    <col min="2" max="2" width="23.44140625" style="37" customWidth="1"/>
    <col min="3" max="4" width="6.5546875" style="37" bestFit="1" customWidth="1"/>
    <col min="5" max="5" width="24.5546875" style="36" customWidth="1"/>
    <col min="6" max="6" width="13.6640625" style="36" customWidth="1"/>
    <col min="7" max="7" width="12.6640625" style="36" bestFit="1" customWidth="1"/>
    <col min="8" max="8" width="1.88671875" style="36" customWidth="1"/>
    <col min="9" max="9" width="6.88671875" style="36" bestFit="1" customWidth="1"/>
    <col min="10" max="10" width="3.109375" style="36" customWidth="1"/>
    <col min="11" max="15" width="3.6640625" style="36" customWidth="1"/>
    <col min="16" max="16" width="6.88671875" style="36" bestFit="1" customWidth="1"/>
    <col min="17" max="22" width="3.6640625" style="36" customWidth="1"/>
    <col min="23" max="23" width="4" style="36" customWidth="1"/>
    <col min="24" max="28" width="3" style="36" customWidth="1"/>
    <col min="29" max="38" width="9.109375" style="36"/>
    <col min="39" max="16384" width="9.109375" style="6"/>
  </cols>
  <sheetData>
    <row r="1" spans="2:28" ht="13.8" thickBot="1" x14ac:dyDescent="0.3"/>
    <row r="2" spans="2:28" x14ac:dyDescent="0.25">
      <c r="B2" s="38" t="s">
        <v>44</v>
      </c>
      <c r="C2" s="39"/>
      <c r="D2" s="40" t="str">
        <f ca="1">TEXT(E2,"ddd")</f>
        <v>Fri</v>
      </c>
      <c r="E2" s="41">
        <f ca="1">TODAY()</f>
        <v>45450</v>
      </c>
    </row>
    <row r="3" spans="2:28" ht="13.8" thickBot="1" x14ac:dyDescent="0.3">
      <c r="B3" s="42" t="s">
        <v>43</v>
      </c>
      <c r="C3" s="43"/>
      <c r="D3" s="44" t="str">
        <f>TEXT(E3,"ddd")</f>
        <v>Mon</v>
      </c>
      <c r="E3" s="45">
        <v>39314</v>
      </c>
    </row>
    <row r="4" spans="2:28" ht="13.8" thickBot="1" x14ac:dyDescent="0.3">
      <c r="D4" s="36"/>
      <c r="E4" s="46"/>
      <c r="I4" s="47"/>
      <c r="J4" s="47"/>
      <c r="K4" s="47"/>
      <c r="L4" s="47"/>
      <c r="M4" s="47"/>
      <c r="N4" s="47"/>
      <c r="O4" s="47"/>
      <c r="P4" s="47"/>
      <c r="Q4" s="47"/>
      <c r="R4" s="47"/>
      <c r="S4" s="47"/>
      <c r="T4" s="47"/>
      <c r="U4" s="47"/>
      <c r="V4" s="47"/>
    </row>
    <row r="5" spans="2:28" ht="15.6" thickBot="1" x14ac:dyDescent="0.3">
      <c r="B5" s="175" t="s">
        <v>47</v>
      </c>
      <c r="C5" s="176"/>
      <c r="D5" s="176"/>
      <c r="E5" s="176"/>
      <c r="F5" s="176"/>
      <c r="G5" s="177"/>
      <c r="I5" s="48"/>
      <c r="J5" s="49"/>
      <c r="K5" s="49"/>
      <c r="L5" s="49"/>
      <c r="M5" s="49"/>
      <c r="N5" s="49"/>
      <c r="O5" s="49"/>
      <c r="P5" s="49"/>
      <c r="Q5" s="49"/>
      <c r="R5" s="49"/>
      <c r="S5" s="49"/>
      <c r="T5" s="49"/>
      <c r="U5" s="49"/>
      <c r="V5" s="49"/>
      <c r="W5" s="51"/>
      <c r="X5" s="50"/>
      <c r="Y5" s="50"/>
      <c r="Z5" s="50"/>
      <c r="AA5" s="50"/>
      <c r="AB5" s="52"/>
    </row>
    <row r="6" spans="2:28" ht="13.8" thickBot="1" x14ac:dyDescent="0.3">
      <c r="B6" s="53" t="s">
        <v>54</v>
      </c>
      <c r="C6" s="54">
        <v>8</v>
      </c>
      <c r="D6" s="55"/>
      <c r="E6" s="56" t="s">
        <v>55</v>
      </c>
      <c r="F6" s="57">
        <v>14</v>
      </c>
      <c r="G6" s="58"/>
      <c r="I6" s="59">
        <f>IF(D3="Mon",E3-0,IF(D3="Tue",E3-1,IF(D3="Wed",E3-2,IF(D3="Thu",E3-3,IF(D3="Fri",E3-4,IF(D3="Sat",E3-5,IF(D3="Sun",E3-6,"False")))))))</f>
        <v>39314</v>
      </c>
      <c r="J6" s="60">
        <f t="shared" ref="J6:O6" si="0">I6+1</f>
        <v>39315</v>
      </c>
      <c r="K6" s="60">
        <f t="shared" si="0"/>
        <v>39316</v>
      </c>
      <c r="L6" s="60">
        <f t="shared" si="0"/>
        <v>39317</v>
      </c>
      <c r="M6" s="60">
        <f t="shared" si="0"/>
        <v>39318</v>
      </c>
      <c r="N6" s="61">
        <f t="shared" si="0"/>
        <v>39319</v>
      </c>
      <c r="O6" s="61">
        <f t="shared" si="0"/>
        <v>39320</v>
      </c>
      <c r="P6" s="62">
        <f>I6+7</f>
        <v>39321</v>
      </c>
      <c r="Q6" s="60">
        <f t="shared" ref="Q6:V6" si="1">P6+1</f>
        <v>39322</v>
      </c>
      <c r="R6" s="60">
        <f t="shared" si="1"/>
        <v>39323</v>
      </c>
      <c r="S6" s="60">
        <f t="shared" si="1"/>
        <v>39324</v>
      </c>
      <c r="T6" s="60">
        <f t="shared" si="1"/>
        <v>39325</v>
      </c>
      <c r="U6" s="61">
        <f t="shared" si="1"/>
        <v>39326</v>
      </c>
      <c r="V6" s="61">
        <f t="shared" si="1"/>
        <v>39327</v>
      </c>
      <c r="W6" s="178"/>
      <c r="X6" s="179"/>
      <c r="Y6" s="179"/>
      <c r="Z6" s="179"/>
      <c r="AA6" s="179"/>
      <c r="AB6" s="180"/>
    </row>
    <row r="7" spans="2:28" ht="29.25" customHeight="1" thickBot="1" x14ac:dyDescent="0.3">
      <c r="B7" s="63"/>
      <c r="C7" s="64"/>
      <c r="D7" s="55"/>
      <c r="E7" s="65" t="s">
        <v>45</v>
      </c>
      <c r="F7" s="65" t="s">
        <v>52</v>
      </c>
      <c r="G7" s="66" t="s">
        <v>46</v>
      </c>
      <c r="I7" s="67" t="s">
        <v>32</v>
      </c>
      <c r="J7" s="68" t="s">
        <v>34</v>
      </c>
      <c r="K7" s="68" t="s">
        <v>35</v>
      </c>
      <c r="L7" s="68" t="s">
        <v>34</v>
      </c>
      <c r="M7" s="68" t="s">
        <v>36</v>
      </c>
      <c r="N7" s="69" t="s">
        <v>33</v>
      </c>
      <c r="O7" s="70" t="s">
        <v>33</v>
      </c>
      <c r="P7" s="67" t="s">
        <v>32</v>
      </c>
      <c r="Q7" s="68" t="s">
        <v>34</v>
      </c>
      <c r="R7" s="68" t="s">
        <v>35</v>
      </c>
      <c r="S7" s="68" t="s">
        <v>34</v>
      </c>
      <c r="T7" s="68" t="s">
        <v>36</v>
      </c>
      <c r="U7" s="69" t="s">
        <v>33</v>
      </c>
      <c r="V7" s="70" t="s">
        <v>33</v>
      </c>
      <c r="W7" s="184" t="s">
        <v>42</v>
      </c>
      <c r="X7" s="185"/>
      <c r="Y7" s="185"/>
      <c r="Z7" s="185"/>
      <c r="AA7" s="185"/>
      <c r="AB7" s="186"/>
    </row>
    <row r="8" spans="2:28" ht="27" thickBot="1" x14ac:dyDescent="0.3">
      <c r="B8" s="71" t="s">
        <v>37</v>
      </c>
      <c r="C8" s="72">
        <f>SUM(G8:G25)</f>
        <v>481.6</v>
      </c>
      <c r="D8" s="73"/>
      <c r="E8" s="167" t="s">
        <v>495</v>
      </c>
      <c r="F8" s="74">
        <v>0.3</v>
      </c>
      <c r="G8" s="75">
        <v>33.6</v>
      </c>
      <c r="H8" s="76"/>
      <c r="I8" s="82">
        <v>1</v>
      </c>
      <c r="J8" s="82">
        <v>1</v>
      </c>
      <c r="K8" s="82">
        <v>1</v>
      </c>
      <c r="L8" s="82">
        <v>1</v>
      </c>
      <c r="M8" s="82">
        <v>1</v>
      </c>
      <c r="N8" s="77"/>
      <c r="O8" s="78"/>
      <c r="P8" s="82">
        <v>1</v>
      </c>
      <c r="Q8" s="82">
        <v>1</v>
      </c>
      <c r="R8" s="82">
        <v>1</v>
      </c>
      <c r="S8" s="82">
        <v>1</v>
      </c>
      <c r="T8" s="82">
        <v>1</v>
      </c>
      <c r="U8" s="77"/>
      <c r="V8" s="78"/>
      <c r="W8" s="181">
        <f t="shared" ref="W8:W25" si="2">IF(E8="unassigned",0,(COUNTIF(I8:V8,1)*$C$6)*F8)</f>
        <v>24</v>
      </c>
      <c r="X8" s="182"/>
      <c r="Y8" s="182"/>
      <c r="Z8" s="182"/>
      <c r="AA8" s="182"/>
      <c r="AB8" s="183"/>
    </row>
    <row r="9" spans="2:28" ht="13.8" thickBot="1" x14ac:dyDescent="0.3">
      <c r="B9" s="79" t="s">
        <v>38</v>
      </c>
      <c r="C9" s="72">
        <f>SUM(W8:AB25)</f>
        <v>344</v>
      </c>
      <c r="D9" s="80"/>
      <c r="E9" s="167" t="s">
        <v>493</v>
      </c>
      <c r="F9" s="81">
        <v>0.5</v>
      </c>
      <c r="G9" s="75">
        <v>56</v>
      </c>
      <c r="H9" s="76"/>
      <c r="I9" s="82">
        <v>1</v>
      </c>
      <c r="J9" s="82">
        <v>1</v>
      </c>
      <c r="K9" s="82">
        <v>1</v>
      </c>
      <c r="L9" s="82">
        <v>1</v>
      </c>
      <c r="M9" s="82">
        <v>1</v>
      </c>
      <c r="N9" s="84"/>
      <c r="O9" s="85"/>
      <c r="P9" s="82">
        <v>1</v>
      </c>
      <c r="Q9" s="82">
        <v>1</v>
      </c>
      <c r="R9" s="82">
        <v>1</v>
      </c>
      <c r="S9" s="82">
        <v>1</v>
      </c>
      <c r="T9" s="82">
        <v>1</v>
      </c>
      <c r="U9" s="84"/>
      <c r="V9" s="85"/>
      <c r="W9" s="181">
        <f t="shared" si="2"/>
        <v>40</v>
      </c>
      <c r="X9" s="182"/>
      <c r="Y9" s="182"/>
      <c r="Z9" s="182"/>
      <c r="AA9" s="182"/>
      <c r="AB9" s="183"/>
    </row>
    <row r="10" spans="2:28" ht="13.8" thickBot="1" x14ac:dyDescent="0.3">
      <c r="B10" s="86" t="s">
        <v>39</v>
      </c>
      <c r="C10" s="87">
        <f>C8-C9</f>
        <v>137.60000000000002</v>
      </c>
      <c r="D10" s="55"/>
      <c r="E10" s="167" t="s">
        <v>494</v>
      </c>
      <c r="F10" s="81">
        <v>1</v>
      </c>
      <c r="G10" s="75">
        <v>112</v>
      </c>
      <c r="H10" s="76"/>
      <c r="I10" s="82">
        <v>1</v>
      </c>
      <c r="J10" s="82">
        <v>1</v>
      </c>
      <c r="K10" s="82">
        <v>1</v>
      </c>
      <c r="L10" s="82">
        <v>1</v>
      </c>
      <c r="M10" s="82">
        <v>1</v>
      </c>
      <c r="N10" s="84"/>
      <c r="O10" s="85"/>
      <c r="P10" s="82">
        <v>1</v>
      </c>
      <c r="Q10" s="82">
        <v>1</v>
      </c>
      <c r="R10" s="82">
        <v>1</v>
      </c>
      <c r="S10" s="82">
        <v>1</v>
      </c>
      <c r="T10" s="82">
        <v>1</v>
      </c>
      <c r="U10" s="84"/>
      <c r="V10" s="85"/>
      <c r="W10" s="181">
        <f t="shared" si="2"/>
        <v>80</v>
      </c>
      <c r="X10" s="182"/>
      <c r="Y10" s="182"/>
      <c r="Z10" s="182"/>
      <c r="AA10" s="182"/>
      <c r="AB10" s="183"/>
    </row>
    <row r="11" spans="2:28" ht="13.8" thickBot="1" x14ac:dyDescent="0.3">
      <c r="B11" s="88"/>
      <c r="D11" s="89"/>
      <c r="E11" s="167" t="s">
        <v>496</v>
      </c>
      <c r="F11" s="81">
        <v>0.5</v>
      </c>
      <c r="G11" s="75">
        <v>56</v>
      </c>
      <c r="H11" s="76"/>
      <c r="I11" s="82">
        <v>1</v>
      </c>
      <c r="J11" s="82">
        <v>1</v>
      </c>
      <c r="K11" s="82">
        <v>1</v>
      </c>
      <c r="L11" s="82">
        <v>1</v>
      </c>
      <c r="M11" s="82">
        <v>1</v>
      </c>
      <c r="N11" s="84"/>
      <c r="O11" s="85"/>
      <c r="P11" s="82">
        <v>1</v>
      </c>
      <c r="Q11" s="82">
        <v>1</v>
      </c>
      <c r="R11" s="82">
        <v>1</v>
      </c>
      <c r="S11" s="82">
        <v>1</v>
      </c>
      <c r="T11" s="82">
        <v>1</v>
      </c>
      <c r="U11" s="84"/>
      <c r="V11" s="85"/>
      <c r="W11" s="181">
        <f t="shared" si="2"/>
        <v>40</v>
      </c>
      <c r="X11" s="182"/>
      <c r="Y11" s="182"/>
      <c r="Z11" s="182"/>
      <c r="AA11" s="182"/>
      <c r="AB11" s="183"/>
    </row>
    <row r="12" spans="2:28" ht="13.8" thickBot="1" x14ac:dyDescent="0.3">
      <c r="B12" s="88"/>
      <c r="D12" s="89"/>
      <c r="E12" s="167" t="s">
        <v>497</v>
      </c>
      <c r="F12" s="81">
        <v>1</v>
      </c>
      <c r="G12" s="75">
        <v>112</v>
      </c>
      <c r="H12" s="76"/>
      <c r="I12" s="82">
        <v>1</v>
      </c>
      <c r="J12" s="82">
        <v>1</v>
      </c>
      <c r="K12" s="82">
        <v>1</v>
      </c>
      <c r="L12" s="82">
        <v>1</v>
      </c>
      <c r="M12" s="82">
        <v>1</v>
      </c>
      <c r="N12" s="84"/>
      <c r="O12" s="85"/>
      <c r="P12" s="82">
        <v>1</v>
      </c>
      <c r="Q12" s="82">
        <v>1</v>
      </c>
      <c r="R12" s="82">
        <v>1</v>
      </c>
      <c r="S12" s="82">
        <v>1</v>
      </c>
      <c r="T12" s="82">
        <v>1</v>
      </c>
      <c r="U12" s="84"/>
      <c r="V12" s="85"/>
      <c r="W12" s="181">
        <f t="shared" si="2"/>
        <v>80</v>
      </c>
      <c r="X12" s="182"/>
      <c r="Y12" s="182"/>
      <c r="Z12" s="182"/>
      <c r="AA12" s="182"/>
      <c r="AB12" s="183"/>
    </row>
    <row r="13" spans="2:28" ht="13.8" thickBot="1" x14ac:dyDescent="0.3">
      <c r="B13" s="88"/>
      <c r="E13" s="167" t="s">
        <v>498</v>
      </c>
      <c r="F13" s="81">
        <v>1</v>
      </c>
      <c r="G13" s="75">
        <v>112</v>
      </c>
      <c r="H13" s="76"/>
      <c r="I13" s="82">
        <v>1</v>
      </c>
      <c r="J13" s="83">
        <v>1</v>
      </c>
      <c r="K13" s="83">
        <v>1</v>
      </c>
      <c r="L13" s="83">
        <v>1</v>
      </c>
      <c r="M13" s="83">
        <v>1</v>
      </c>
      <c r="N13" s="84"/>
      <c r="O13" s="85"/>
      <c r="P13" s="82">
        <v>1</v>
      </c>
      <c r="Q13" s="83">
        <v>1</v>
      </c>
      <c r="R13" s="83">
        <v>1</v>
      </c>
      <c r="S13" s="83">
        <v>1</v>
      </c>
      <c r="T13" s="83">
        <v>1</v>
      </c>
      <c r="U13" s="84"/>
      <c r="V13" s="85"/>
      <c r="W13" s="181">
        <f t="shared" si="2"/>
        <v>80</v>
      </c>
      <c r="X13" s="182"/>
      <c r="Y13" s="182"/>
      <c r="Z13" s="182"/>
      <c r="AA13" s="182"/>
      <c r="AB13" s="183"/>
    </row>
    <row r="14" spans="2:28" ht="13.8" thickBot="1" x14ac:dyDescent="0.3">
      <c r="B14" s="88"/>
      <c r="D14" s="55"/>
      <c r="E14" s="18"/>
      <c r="F14" s="81"/>
      <c r="G14" s="75">
        <f>SUMIF(Sprint!$F$4:$F$1993,E14,Sprint!$AX$4:$AX$1993)</f>
        <v>0</v>
      </c>
      <c r="H14" s="76"/>
      <c r="I14" s="82">
        <f t="shared" ref="I14:J18" si="3">IF(I$6&lt;$E$3,0,IF(ISBLANK($E14),0,IF(I$6&lt;$E$2,0,1)))</f>
        <v>0</v>
      </c>
      <c r="J14" s="83">
        <f t="shared" si="3"/>
        <v>0</v>
      </c>
      <c r="K14" s="83">
        <f t="shared" ref="K14:M23" si="4">IF(K$6&lt;$E$3,0,IF(ISBLANK($E14),0,IF(K$6&lt;$E$2,0,1)))</f>
        <v>0</v>
      </c>
      <c r="L14" s="83">
        <f t="shared" si="4"/>
        <v>0</v>
      </c>
      <c r="M14" s="83">
        <f t="shared" si="4"/>
        <v>0</v>
      </c>
      <c r="N14" s="84"/>
      <c r="O14" s="85"/>
      <c r="P14" s="82">
        <f t="shared" ref="P14:T18" si="5">IF(P$6&lt;$E$3,0,IF(ISBLANK($E14),0,IF(P$6&lt;$E$2,0,1)))</f>
        <v>0</v>
      </c>
      <c r="Q14" s="83">
        <f t="shared" si="5"/>
        <v>0</v>
      </c>
      <c r="R14" s="83">
        <f t="shared" si="5"/>
        <v>0</v>
      </c>
      <c r="S14" s="83">
        <f t="shared" si="5"/>
        <v>0</v>
      </c>
      <c r="T14" s="83">
        <f t="shared" si="5"/>
        <v>0</v>
      </c>
      <c r="U14" s="84"/>
      <c r="V14" s="85"/>
      <c r="W14" s="181">
        <f t="shared" si="2"/>
        <v>0</v>
      </c>
      <c r="X14" s="182"/>
      <c r="Y14" s="182"/>
      <c r="Z14" s="182"/>
      <c r="AA14" s="182"/>
      <c r="AB14" s="183"/>
    </row>
    <row r="15" spans="2:28" ht="13.8" thickBot="1" x14ac:dyDescent="0.3">
      <c r="B15" s="88"/>
      <c r="D15" s="55"/>
      <c r="E15" s="18"/>
      <c r="F15" s="81"/>
      <c r="G15" s="75">
        <f>SUMIF(Sprint!$F$4:$F$1993,E15,Sprint!$AX$4:$AX$1993)</f>
        <v>0</v>
      </c>
      <c r="H15" s="76"/>
      <c r="I15" s="82">
        <f t="shared" si="3"/>
        <v>0</v>
      </c>
      <c r="J15" s="83">
        <f t="shared" si="3"/>
        <v>0</v>
      </c>
      <c r="K15" s="83">
        <f t="shared" si="4"/>
        <v>0</v>
      </c>
      <c r="L15" s="83">
        <f t="shared" si="4"/>
        <v>0</v>
      </c>
      <c r="M15" s="83">
        <f t="shared" si="4"/>
        <v>0</v>
      </c>
      <c r="N15" s="84"/>
      <c r="O15" s="85"/>
      <c r="P15" s="82">
        <f t="shared" si="5"/>
        <v>0</v>
      </c>
      <c r="Q15" s="83">
        <f t="shared" si="5"/>
        <v>0</v>
      </c>
      <c r="R15" s="83">
        <f t="shared" si="5"/>
        <v>0</v>
      </c>
      <c r="S15" s="83">
        <f t="shared" si="5"/>
        <v>0</v>
      </c>
      <c r="T15" s="83">
        <f t="shared" si="5"/>
        <v>0</v>
      </c>
      <c r="U15" s="84"/>
      <c r="V15" s="85"/>
      <c r="W15" s="181">
        <f t="shared" si="2"/>
        <v>0</v>
      </c>
      <c r="X15" s="182"/>
      <c r="Y15" s="182"/>
      <c r="Z15" s="182"/>
      <c r="AA15" s="182"/>
      <c r="AB15" s="183"/>
    </row>
    <row r="16" spans="2:28" ht="13.8" thickBot="1" x14ac:dyDescent="0.3">
      <c r="B16" s="88"/>
      <c r="E16" s="18"/>
      <c r="F16" s="81"/>
      <c r="G16" s="75">
        <f>SUMIF(Sprint!$F$4:$F$1993,E16,Sprint!$AX$4:$AX$1993)</f>
        <v>0</v>
      </c>
      <c r="H16" s="76"/>
      <c r="I16" s="82">
        <f t="shared" si="3"/>
        <v>0</v>
      </c>
      <c r="J16" s="83">
        <f t="shared" si="3"/>
        <v>0</v>
      </c>
      <c r="K16" s="83">
        <f t="shared" si="4"/>
        <v>0</v>
      </c>
      <c r="L16" s="83">
        <f t="shared" si="4"/>
        <v>0</v>
      </c>
      <c r="M16" s="83">
        <f t="shared" si="4"/>
        <v>0</v>
      </c>
      <c r="N16" s="84"/>
      <c r="O16" s="85"/>
      <c r="P16" s="82">
        <f t="shared" si="5"/>
        <v>0</v>
      </c>
      <c r="Q16" s="83">
        <f t="shared" si="5"/>
        <v>0</v>
      </c>
      <c r="R16" s="83">
        <f t="shared" si="5"/>
        <v>0</v>
      </c>
      <c r="S16" s="83">
        <f t="shared" si="5"/>
        <v>0</v>
      </c>
      <c r="T16" s="83">
        <f t="shared" si="5"/>
        <v>0</v>
      </c>
      <c r="U16" s="84"/>
      <c r="V16" s="85"/>
      <c r="W16" s="181">
        <f t="shared" si="2"/>
        <v>0</v>
      </c>
      <c r="X16" s="182"/>
      <c r="Y16" s="182"/>
      <c r="Z16" s="182"/>
      <c r="AA16" s="182"/>
      <c r="AB16" s="183"/>
    </row>
    <row r="17" spans="2:28" ht="13.8" thickBot="1" x14ac:dyDescent="0.3">
      <c r="B17" s="88"/>
      <c r="E17" s="18"/>
      <c r="F17" s="81"/>
      <c r="G17" s="75">
        <f>SUMIF(Sprint!$F$4:$F$1993,E17,Sprint!$AX$4:$AX$1993)</f>
        <v>0</v>
      </c>
      <c r="H17" s="90"/>
      <c r="I17" s="82">
        <f t="shared" si="3"/>
        <v>0</v>
      </c>
      <c r="J17" s="83">
        <f t="shared" si="3"/>
        <v>0</v>
      </c>
      <c r="K17" s="83">
        <f t="shared" si="4"/>
        <v>0</v>
      </c>
      <c r="L17" s="83">
        <f t="shared" si="4"/>
        <v>0</v>
      </c>
      <c r="M17" s="83">
        <f t="shared" si="4"/>
        <v>0</v>
      </c>
      <c r="N17" s="84"/>
      <c r="O17" s="85"/>
      <c r="P17" s="82">
        <f t="shared" si="5"/>
        <v>0</v>
      </c>
      <c r="Q17" s="83">
        <f t="shared" si="5"/>
        <v>0</v>
      </c>
      <c r="R17" s="83">
        <f t="shared" si="5"/>
        <v>0</v>
      </c>
      <c r="S17" s="83">
        <f t="shared" si="5"/>
        <v>0</v>
      </c>
      <c r="T17" s="83">
        <f t="shared" si="5"/>
        <v>0</v>
      </c>
      <c r="U17" s="84"/>
      <c r="V17" s="85"/>
      <c r="W17" s="181">
        <f t="shared" si="2"/>
        <v>0</v>
      </c>
      <c r="X17" s="182"/>
      <c r="Y17" s="182"/>
      <c r="Z17" s="182"/>
      <c r="AA17" s="182"/>
      <c r="AB17" s="183"/>
    </row>
    <row r="18" spans="2:28" ht="13.8" thickBot="1" x14ac:dyDescent="0.3">
      <c r="B18" s="88"/>
      <c r="E18" s="18"/>
      <c r="F18" s="81"/>
      <c r="G18" s="75">
        <f>SUMIF(Sprint!$F$4:$F$1993,E18,Sprint!$AX$4:$AX$1993)</f>
        <v>0</v>
      </c>
      <c r="H18" s="90"/>
      <c r="I18" s="82">
        <f t="shared" si="3"/>
        <v>0</v>
      </c>
      <c r="J18" s="83">
        <f t="shared" si="3"/>
        <v>0</v>
      </c>
      <c r="K18" s="83">
        <f t="shared" si="4"/>
        <v>0</v>
      </c>
      <c r="L18" s="83">
        <f t="shared" si="4"/>
        <v>0</v>
      </c>
      <c r="M18" s="83">
        <f t="shared" si="4"/>
        <v>0</v>
      </c>
      <c r="N18" s="84"/>
      <c r="O18" s="85"/>
      <c r="P18" s="82">
        <f t="shared" si="5"/>
        <v>0</v>
      </c>
      <c r="Q18" s="83">
        <f t="shared" si="5"/>
        <v>0</v>
      </c>
      <c r="R18" s="83">
        <f t="shared" si="5"/>
        <v>0</v>
      </c>
      <c r="S18" s="83">
        <f t="shared" si="5"/>
        <v>0</v>
      </c>
      <c r="T18" s="83">
        <f t="shared" si="5"/>
        <v>0</v>
      </c>
      <c r="U18" s="84"/>
      <c r="V18" s="85"/>
      <c r="W18" s="181">
        <f t="shared" si="2"/>
        <v>0</v>
      </c>
      <c r="X18" s="182"/>
      <c r="Y18" s="182"/>
      <c r="Z18" s="182"/>
      <c r="AA18" s="182"/>
      <c r="AB18" s="183"/>
    </row>
    <row r="19" spans="2:28" ht="13.8" thickBot="1" x14ac:dyDescent="0.3">
      <c r="B19" s="88"/>
      <c r="E19" s="18"/>
      <c r="F19" s="81"/>
      <c r="G19" s="75">
        <f>SUMIF(Sprint!$F$4:$F$1993,E19,Sprint!$AX$4:$AX$1993)</f>
        <v>0</v>
      </c>
      <c r="H19" s="90"/>
      <c r="I19" s="82">
        <f t="shared" ref="I19:I25" si="6">IF(I$6&lt;$E$3,0,IF(ISBLANK($E19),0,IF(I$6&lt;$E$2,0,1)))</f>
        <v>0</v>
      </c>
      <c r="J19" s="83">
        <f t="shared" ref="J19:J25" si="7">IF(J$6&lt;$E$3,0,IF(ISBLANK($E19),0,IF(J$6&lt;$E$2,0,1)))</f>
        <v>0</v>
      </c>
      <c r="K19" s="83">
        <f t="shared" si="4"/>
        <v>0</v>
      </c>
      <c r="L19" s="83">
        <f t="shared" si="4"/>
        <v>0</v>
      </c>
      <c r="M19" s="83">
        <f t="shared" si="4"/>
        <v>0</v>
      </c>
      <c r="N19" s="84"/>
      <c r="O19" s="85"/>
      <c r="P19" s="82">
        <f t="shared" ref="P19:Q25" si="8">IF(P$6&lt;$E$3,0,IF(ISBLANK($E19),0,IF(P$6&lt;$E$2,0,1)))</f>
        <v>0</v>
      </c>
      <c r="Q19" s="83">
        <f t="shared" si="8"/>
        <v>0</v>
      </c>
      <c r="R19" s="83">
        <f t="shared" ref="R19:T23" si="9">IF(R$6&lt;$E$3,0,IF(ISBLANK($E19),0,IF(R$6&lt;$E$2,0,1)))</f>
        <v>0</v>
      </c>
      <c r="S19" s="83">
        <f t="shared" si="9"/>
        <v>0</v>
      </c>
      <c r="T19" s="83">
        <f t="shared" si="9"/>
        <v>0</v>
      </c>
      <c r="U19" s="84"/>
      <c r="V19" s="85"/>
      <c r="W19" s="181">
        <f t="shared" si="2"/>
        <v>0</v>
      </c>
      <c r="X19" s="182"/>
      <c r="Y19" s="182"/>
      <c r="Z19" s="182"/>
      <c r="AA19" s="182"/>
      <c r="AB19" s="183"/>
    </row>
    <row r="20" spans="2:28" ht="13.8" thickBot="1" x14ac:dyDescent="0.3">
      <c r="B20" s="88"/>
      <c r="E20" s="18"/>
      <c r="F20" s="81"/>
      <c r="G20" s="75">
        <f>SUMIF(Sprint!$F$4:$F$1993,E20,Sprint!$AX$4:$AX$1993)</f>
        <v>0</v>
      </c>
      <c r="H20" s="90"/>
      <c r="I20" s="82">
        <f t="shared" si="6"/>
        <v>0</v>
      </c>
      <c r="J20" s="83">
        <f t="shared" si="7"/>
        <v>0</v>
      </c>
      <c r="K20" s="83">
        <f t="shared" si="4"/>
        <v>0</v>
      </c>
      <c r="L20" s="83">
        <f t="shared" si="4"/>
        <v>0</v>
      </c>
      <c r="M20" s="83">
        <f t="shared" si="4"/>
        <v>0</v>
      </c>
      <c r="N20" s="84"/>
      <c r="O20" s="85"/>
      <c r="P20" s="82">
        <f t="shared" si="8"/>
        <v>0</v>
      </c>
      <c r="Q20" s="83">
        <f t="shared" si="8"/>
        <v>0</v>
      </c>
      <c r="R20" s="83">
        <f t="shared" si="9"/>
        <v>0</v>
      </c>
      <c r="S20" s="83">
        <f t="shared" si="9"/>
        <v>0</v>
      </c>
      <c r="T20" s="83">
        <f t="shared" si="9"/>
        <v>0</v>
      </c>
      <c r="U20" s="84"/>
      <c r="V20" s="85"/>
      <c r="W20" s="181">
        <f t="shared" si="2"/>
        <v>0</v>
      </c>
      <c r="X20" s="182"/>
      <c r="Y20" s="182"/>
      <c r="Z20" s="182"/>
      <c r="AA20" s="182"/>
      <c r="AB20" s="183"/>
    </row>
    <row r="21" spans="2:28" ht="13.8" thickBot="1" x14ac:dyDescent="0.3">
      <c r="B21" s="88"/>
      <c r="C21" s="36"/>
      <c r="E21" s="18"/>
      <c r="F21" s="81"/>
      <c r="G21" s="75">
        <f>SUMIF(Sprint!$F$4:$F$1993,E21,Sprint!$AX$4:$AX$1993)</f>
        <v>0</v>
      </c>
      <c r="H21" s="90"/>
      <c r="I21" s="82">
        <f t="shared" si="6"/>
        <v>0</v>
      </c>
      <c r="J21" s="83">
        <f t="shared" si="7"/>
        <v>0</v>
      </c>
      <c r="K21" s="83">
        <f t="shared" si="4"/>
        <v>0</v>
      </c>
      <c r="L21" s="83">
        <f t="shared" si="4"/>
        <v>0</v>
      </c>
      <c r="M21" s="83">
        <f t="shared" si="4"/>
        <v>0</v>
      </c>
      <c r="N21" s="84"/>
      <c r="O21" s="85"/>
      <c r="P21" s="82">
        <f t="shared" si="8"/>
        <v>0</v>
      </c>
      <c r="Q21" s="83">
        <f t="shared" si="8"/>
        <v>0</v>
      </c>
      <c r="R21" s="83">
        <f t="shared" si="9"/>
        <v>0</v>
      </c>
      <c r="S21" s="83">
        <f t="shared" si="9"/>
        <v>0</v>
      </c>
      <c r="T21" s="83">
        <f t="shared" si="9"/>
        <v>0</v>
      </c>
      <c r="U21" s="84"/>
      <c r="V21" s="85"/>
      <c r="W21" s="181">
        <f t="shared" si="2"/>
        <v>0</v>
      </c>
      <c r="X21" s="182"/>
      <c r="Y21" s="182"/>
      <c r="Z21" s="182"/>
      <c r="AA21" s="182"/>
      <c r="AB21" s="183"/>
    </row>
    <row r="22" spans="2:28" ht="13.8" thickBot="1" x14ac:dyDescent="0.3">
      <c r="B22" s="63"/>
      <c r="C22" s="91"/>
      <c r="E22" s="18"/>
      <c r="F22" s="92"/>
      <c r="G22" s="75">
        <f>SUMIF(Sprint!$F$4:$F$1993,E22,Sprint!$AX$4:$AX$1993)</f>
        <v>0</v>
      </c>
      <c r="H22" s="90"/>
      <c r="I22" s="82">
        <f t="shared" si="6"/>
        <v>0</v>
      </c>
      <c r="J22" s="83">
        <f t="shared" si="7"/>
        <v>0</v>
      </c>
      <c r="K22" s="83">
        <f t="shared" si="4"/>
        <v>0</v>
      </c>
      <c r="L22" s="83">
        <f t="shared" si="4"/>
        <v>0</v>
      </c>
      <c r="M22" s="83">
        <f t="shared" si="4"/>
        <v>0</v>
      </c>
      <c r="N22" s="84"/>
      <c r="O22" s="85"/>
      <c r="P22" s="82">
        <f t="shared" si="8"/>
        <v>0</v>
      </c>
      <c r="Q22" s="83">
        <f t="shared" si="8"/>
        <v>0</v>
      </c>
      <c r="R22" s="83">
        <f t="shared" si="9"/>
        <v>0</v>
      </c>
      <c r="S22" s="83">
        <f t="shared" si="9"/>
        <v>0</v>
      </c>
      <c r="T22" s="83">
        <f t="shared" si="9"/>
        <v>0</v>
      </c>
      <c r="U22" s="84"/>
      <c r="V22" s="85"/>
      <c r="W22" s="181">
        <f t="shared" si="2"/>
        <v>0</v>
      </c>
      <c r="X22" s="182"/>
      <c r="Y22" s="182"/>
      <c r="Z22" s="182"/>
      <c r="AA22" s="182"/>
      <c r="AB22" s="183"/>
    </row>
    <row r="23" spans="2:28" ht="13.8" thickBot="1" x14ac:dyDescent="0.3">
      <c r="B23" s="63"/>
      <c r="E23" s="18"/>
      <c r="F23" s="92"/>
      <c r="G23" s="75">
        <f>SUMIF(Sprint!$F$4:$F$1993,E23,Sprint!$AX$4:$AX$1993)</f>
        <v>0</v>
      </c>
      <c r="H23" s="90"/>
      <c r="I23" s="82">
        <f t="shared" si="6"/>
        <v>0</v>
      </c>
      <c r="J23" s="83">
        <f t="shared" si="7"/>
        <v>0</v>
      </c>
      <c r="K23" s="83">
        <f t="shared" si="4"/>
        <v>0</v>
      </c>
      <c r="L23" s="83">
        <f t="shared" si="4"/>
        <v>0</v>
      </c>
      <c r="M23" s="83">
        <f t="shared" si="4"/>
        <v>0</v>
      </c>
      <c r="N23" s="84"/>
      <c r="O23" s="85"/>
      <c r="P23" s="82">
        <f t="shared" si="8"/>
        <v>0</v>
      </c>
      <c r="Q23" s="83">
        <f t="shared" si="8"/>
        <v>0</v>
      </c>
      <c r="R23" s="83">
        <f t="shared" si="9"/>
        <v>0</v>
      </c>
      <c r="S23" s="83">
        <f t="shared" si="9"/>
        <v>0</v>
      </c>
      <c r="T23" s="83">
        <f t="shared" si="9"/>
        <v>0</v>
      </c>
      <c r="U23" s="84"/>
      <c r="V23" s="85"/>
      <c r="W23" s="181">
        <f t="shared" si="2"/>
        <v>0</v>
      </c>
      <c r="X23" s="182"/>
      <c r="Y23" s="182"/>
      <c r="Z23" s="182"/>
      <c r="AA23" s="182"/>
      <c r="AB23" s="183"/>
    </row>
    <row r="24" spans="2:28" ht="13.8" thickBot="1" x14ac:dyDescent="0.3">
      <c r="B24" s="88"/>
      <c r="E24" s="18"/>
      <c r="F24" s="92"/>
      <c r="G24" s="75">
        <f>SUMIF(Sprint!$F$4:$F$1993,E24,Sprint!$AX$4:$AX$1993)</f>
        <v>0</v>
      </c>
      <c r="H24" s="90"/>
      <c r="I24" s="82">
        <f t="shared" si="6"/>
        <v>0</v>
      </c>
      <c r="J24" s="83">
        <f t="shared" si="7"/>
        <v>0</v>
      </c>
      <c r="K24" s="83">
        <f t="shared" ref="K24:M25" si="10">IF(K$6&lt;$E$3,0,IF(ISBLANK($E24),0,IF(K$6&lt;$E$2,0,1)))</f>
        <v>0</v>
      </c>
      <c r="L24" s="83">
        <f t="shared" si="10"/>
        <v>0</v>
      </c>
      <c r="M24" s="83">
        <f t="shared" si="10"/>
        <v>0</v>
      </c>
      <c r="N24" s="84"/>
      <c r="O24" s="85"/>
      <c r="P24" s="82">
        <f t="shared" si="8"/>
        <v>0</v>
      </c>
      <c r="Q24" s="83">
        <f t="shared" si="8"/>
        <v>0</v>
      </c>
      <c r="R24" s="83">
        <f t="shared" ref="R24:T25" si="11">IF(R$6&lt;$E$3,0,IF(ISBLANK($E24),0,IF(R$6&lt;$E$2,0,1)))</f>
        <v>0</v>
      </c>
      <c r="S24" s="83">
        <f t="shared" si="11"/>
        <v>0</v>
      </c>
      <c r="T24" s="83">
        <f t="shared" si="11"/>
        <v>0</v>
      </c>
      <c r="U24" s="84"/>
      <c r="V24" s="85"/>
      <c r="W24" s="181">
        <f t="shared" si="2"/>
        <v>0</v>
      </c>
      <c r="X24" s="182"/>
      <c r="Y24" s="182"/>
      <c r="Z24" s="182"/>
      <c r="AA24" s="182"/>
      <c r="AB24" s="183"/>
    </row>
    <row r="25" spans="2:28" ht="13.8" thickBot="1" x14ac:dyDescent="0.3">
      <c r="B25" s="88"/>
      <c r="E25" s="93"/>
      <c r="F25" s="94"/>
      <c r="G25" s="75">
        <f>SUMIF(Sprint!$F$4:$F$1993,E25,Sprint!$AX$4:$AX$1993)</f>
        <v>0</v>
      </c>
      <c r="H25" s="90"/>
      <c r="I25" s="95">
        <f t="shared" si="6"/>
        <v>0</v>
      </c>
      <c r="J25" s="96">
        <f t="shared" si="7"/>
        <v>0</v>
      </c>
      <c r="K25" s="96">
        <f t="shared" si="10"/>
        <v>0</v>
      </c>
      <c r="L25" s="96">
        <f t="shared" si="10"/>
        <v>0</v>
      </c>
      <c r="M25" s="96">
        <f t="shared" si="10"/>
        <v>0</v>
      </c>
      <c r="N25" s="97"/>
      <c r="O25" s="98"/>
      <c r="P25" s="95">
        <f t="shared" si="8"/>
        <v>0</v>
      </c>
      <c r="Q25" s="96">
        <f t="shared" si="8"/>
        <v>0</v>
      </c>
      <c r="R25" s="96">
        <f t="shared" si="11"/>
        <v>0</v>
      </c>
      <c r="S25" s="96">
        <f t="shared" si="11"/>
        <v>0</v>
      </c>
      <c r="T25" s="96">
        <f t="shared" si="11"/>
        <v>0</v>
      </c>
      <c r="U25" s="97"/>
      <c r="V25" s="98"/>
      <c r="W25" s="181">
        <f t="shared" si="2"/>
        <v>0</v>
      </c>
      <c r="X25" s="182"/>
      <c r="Y25" s="182"/>
      <c r="Z25" s="182"/>
      <c r="AA25" s="182"/>
      <c r="AB25" s="183"/>
    </row>
    <row r="26" spans="2:28" x14ac:dyDescent="0.25">
      <c r="B26" s="88"/>
      <c r="E26" s="99"/>
      <c r="G26" s="100"/>
      <c r="I26" s="101"/>
      <c r="J26" s="102"/>
      <c r="K26" s="102"/>
      <c r="L26" s="102"/>
      <c r="M26" s="102"/>
      <c r="N26" s="103"/>
      <c r="O26" s="103"/>
      <c r="P26" s="102"/>
      <c r="Q26" s="102"/>
      <c r="R26" s="102"/>
      <c r="S26" s="102"/>
      <c r="T26" s="102"/>
      <c r="U26" s="103"/>
      <c r="V26" s="103"/>
      <c r="W26" s="104"/>
      <c r="X26" s="104"/>
      <c r="Y26" s="104"/>
      <c r="Z26" s="104"/>
      <c r="AA26" s="104"/>
      <c r="AB26" s="105"/>
    </row>
    <row r="27" spans="2:28" ht="13.8" thickBot="1" x14ac:dyDescent="0.3">
      <c r="B27" s="106"/>
      <c r="C27" s="107"/>
      <c r="D27" s="107"/>
      <c r="E27" s="108"/>
      <c r="F27" s="108"/>
      <c r="G27" s="109"/>
      <c r="I27" s="110"/>
      <c r="J27" s="108"/>
      <c r="K27" s="108"/>
      <c r="L27" s="108"/>
      <c r="M27" s="111"/>
      <c r="N27" s="111"/>
      <c r="O27" s="111"/>
      <c r="P27" s="111"/>
      <c r="Q27" s="111"/>
      <c r="R27" s="108"/>
      <c r="S27" s="108"/>
      <c r="T27" s="111"/>
      <c r="U27" s="111"/>
      <c r="V27" s="111"/>
      <c r="W27" s="108"/>
      <c r="X27" s="108"/>
      <c r="Y27" s="108"/>
      <c r="Z27" s="108"/>
      <c r="AA27" s="108"/>
      <c r="AB27" s="109"/>
    </row>
    <row r="29" spans="2:28" x14ac:dyDescent="0.25">
      <c r="I29" s="112" t="s">
        <v>50</v>
      </c>
      <c r="J29" s="36" t="s">
        <v>40</v>
      </c>
      <c r="K29" s="36" t="s">
        <v>51</v>
      </c>
      <c r="Q29" s="112" t="s">
        <v>49</v>
      </c>
      <c r="R29" s="36" t="s">
        <v>40</v>
      </c>
      <c r="S29" s="36" t="s">
        <v>53</v>
      </c>
    </row>
    <row r="30" spans="2:28" x14ac:dyDescent="0.25">
      <c r="C30" s="113"/>
      <c r="D30" s="113"/>
    </row>
    <row r="31" spans="2:28" x14ac:dyDescent="0.25">
      <c r="C31" s="113"/>
      <c r="D31" s="113"/>
      <c r="E31" s="114"/>
      <c r="J31" s="6"/>
    </row>
    <row r="32" spans="2:28" x14ac:dyDescent="0.25">
      <c r="C32" s="113"/>
      <c r="D32" s="113"/>
      <c r="E32" s="114"/>
      <c r="F32" s="46"/>
    </row>
    <row r="37" spans="2:22" x14ac:dyDescent="0.25">
      <c r="I37" s="115"/>
    </row>
    <row r="38" spans="2:22" x14ac:dyDescent="0.25">
      <c r="J38" s="116"/>
      <c r="K38" s="99"/>
      <c r="L38" s="99"/>
      <c r="M38" s="99"/>
      <c r="N38" s="99"/>
      <c r="O38" s="99"/>
      <c r="Q38" s="116"/>
      <c r="R38" s="99"/>
      <c r="S38" s="99"/>
      <c r="T38" s="99"/>
      <c r="U38" s="99"/>
      <c r="V38" s="99"/>
    </row>
    <row r="40" spans="2:22" x14ac:dyDescent="0.25">
      <c r="E40" s="6"/>
    </row>
    <row r="45" spans="2:22" x14ac:dyDescent="0.25">
      <c r="B45" s="117"/>
      <c r="E45" s="115"/>
    </row>
  </sheetData>
  <mergeCells count="21">
    <mergeCell ref="W21:AB21"/>
    <mergeCell ref="W23:AB23"/>
    <mergeCell ref="W24:AB24"/>
    <mergeCell ref="W25:AB25"/>
    <mergeCell ref="W22:AB22"/>
    <mergeCell ref="W20:AB20"/>
    <mergeCell ref="W16:AB16"/>
    <mergeCell ref="W17:AB17"/>
    <mergeCell ref="W18:AB18"/>
    <mergeCell ref="W13:AB13"/>
    <mergeCell ref="W14:AB14"/>
    <mergeCell ref="W15:AB15"/>
    <mergeCell ref="W19:AB19"/>
    <mergeCell ref="B5:G5"/>
    <mergeCell ref="W6:AB6"/>
    <mergeCell ref="W12:AB12"/>
    <mergeCell ref="W11:AB11"/>
    <mergeCell ref="W7:AB7"/>
    <mergeCell ref="W8:AB8"/>
    <mergeCell ref="W9:AB9"/>
    <mergeCell ref="W10:AB10"/>
  </mergeCells>
  <phoneticPr fontId="0" type="noConversion"/>
  <conditionalFormatting sqref="G8:G25">
    <cfRule type="expression" dxfId="24" priority="2" stopIfTrue="1">
      <formula>G8&gt;W8</formula>
    </cfRule>
  </conditionalFormatting>
  <conditionalFormatting sqref="I8:M25 P8:T25">
    <cfRule type="cellIs" dxfId="23" priority="5" stopIfTrue="1" operator="equal">
      <formula>"H"</formula>
    </cfRule>
    <cfRule type="cellIs" dxfId="22" priority="6" stopIfTrue="1" operator="equal">
      <formula>"V"</formula>
    </cfRule>
    <cfRule type="expression" dxfId="21" priority="7" stopIfTrue="1">
      <formula>IF(I$6&lt;$E$2,1,0)</formula>
    </cfRule>
  </conditionalFormatting>
  <conditionalFormatting sqref="X30:X34 X26:X28 J32:J34 J26:J30 I26:I34 Q29 T26:W34 N8:O25 K26:O34 U8:V25 P30:S34 P26:S28">
    <cfRule type="cellIs" dxfId="20" priority="13" stopIfTrue="1" operator="equal">
      <formula>"DIO"</formula>
    </cfRule>
    <cfRule type="cellIs" dxfId="19" priority="14" stopIfTrue="1" operator="equal">
      <formula>"H"</formula>
    </cfRule>
    <cfRule type="cellIs" dxfId="18" priority="15" stopIfTrue="1" operator="equal">
      <formula>"V"</formula>
    </cfRule>
  </conditionalFormatting>
  <conditionalFormatting sqref="P6">
    <cfRule type="expression" dxfId="17" priority="21" stopIfTrue="1">
      <formula>P$6=TODAY()</formula>
    </cfRule>
    <cfRule type="expression" dxfId="16" priority="22" stopIfTrue="1">
      <formula>IF((P$6+1-$E$3)=$F$6,1,0)</formula>
    </cfRule>
  </conditionalFormatting>
  <conditionalFormatting sqref="Q6:V6 J6:O6">
    <cfRule type="expression" dxfId="15" priority="23" stopIfTrue="1">
      <formula>J$6=TODAY()</formula>
    </cfRule>
    <cfRule type="expression" dxfId="14" priority="24" stopIfTrue="1">
      <formula>IF((J$6+1-$E$3)=$F$6,1,0)</formula>
    </cfRule>
  </conditionalFormatting>
  <conditionalFormatting sqref="I6">
    <cfRule type="expression" dxfId="13" priority="25" stopIfTrue="1">
      <formula>I$6=TODAY()</formula>
    </cfRule>
    <cfRule type="expression" dxfId="12" priority="26" stopIfTrue="1">
      <formula>IF((J$6+1-$E$3)=$F$6,1,0)</formula>
    </cfRule>
  </conditionalFormatting>
  <conditionalFormatting sqref="F26:F27 F8:F21">
    <cfRule type="expression" dxfId="11" priority="1" stopIfTrue="1">
      <formula>H8&gt;X8</formula>
    </cfRule>
  </conditionalFormatting>
  <conditionalFormatting sqref="F30:F33">
    <cfRule type="expression" dxfId="10" priority="4" stopIfTrue="1">
      <formula>H28&gt;X28</formula>
    </cfRule>
  </conditionalFormatting>
  <conditionalFormatting sqref="C10">
    <cfRule type="cellIs" dxfId="9" priority="8" stopIfTrue="1" operator="greaterThan">
      <formula>0</formula>
    </cfRule>
    <cfRule type="cellIs" dxfId="8" priority="9" stopIfTrue="1" operator="lessThanOrEqual">
      <formula>0</formula>
    </cfRule>
  </conditionalFormatting>
  <conditionalFormatting sqref="C22 D14:D15 D6:D12 C6:C9">
    <cfRule type="cellIs" dxfId="7" priority="10" stopIfTrue="1" operator="equal">
      <formula>"3A"</formula>
    </cfRule>
    <cfRule type="cellIs" dxfId="6" priority="11" stopIfTrue="1" operator="equal">
      <formula>"3B"</formula>
    </cfRule>
  </conditionalFormatting>
  <conditionalFormatting sqref="G32:G34 G6">
    <cfRule type="cellIs" dxfId="5" priority="12" stopIfTrue="1" operator="equal">
      <formula>"Done"</formula>
    </cfRule>
  </conditionalFormatting>
  <conditionalFormatting sqref="I7:K7 M7:W7">
    <cfRule type="cellIs" dxfId="4" priority="16" stopIfTrue="1" operator="equal">
      <formula>"DIO"</formula>
    </cfRule>
    <cfRule type="cellIs" dxfId="3" priority="17" stopIfTrue="1" operator="equal">
      <formula>"H"</formula>
    </cfRule>
    <cfRule type="cellIs" dxfId="2" priority="18" stopIfTrue="1" operator="equal">
      <formula>"V"</formula>
    </cfRule>
  </conditionalFormatting>
  <conditionalFormatting sqref="L7">
    <cfRule type="cellIs" dxfId="1" priority="19" stopIfTrue="1" operator="equal">
      <formula>"DIO"</formula>
    </cfRule>
    <cfRule type="cellIs" dxfId="0" priority="20" stopIfTrue="1" operator="equal">
      <formula>"H"</formula>
    </cfRule>
  </conditionalFormatting>
  <dataValidations count="1">
    <dataValidation type="list" allowBlank="1" showInputMessage="1" showErrorMessage="1" sqref="B30 E8:E25" xr:uid="{00000000-0002-0000-0200-000000000000}">
      <formula1>Members</formula1>
    </dataValidation>
  </dataValidations>
  <pageMargins left="0" right="0" top="0" bottom="0" header="0" footer="0"/>
  <pageSetup orientation="portrait" r:id="rId1"/>
  <headerFooter alignWithMargins="0"/>
  <rowBreaks count="1" manualBreakCount="1">
    <brk id="33"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4:I51"/>
  <sheetViews>
    <sheetView tabSelected="1" workbookViewId="0">
      <selection activeCell="S4" sqref="S4:AY198"/>
    </sheetView>
  </sheetViews>
  <sheetFormatPr defaultColWidth="9.109375" defaultRowHeight="13.2" x14ac:dyDescent="0.25"/>
  <cols>
    <col min="1" max="1" width="2.6640625" style="36" customWidth="1"/>
    <col min="2" max="2" width="18.44140625" style="36" bestFit="1" customWidth="1"/>
    <col min="3" max="3" width="14.109375" style="36" bestFit="1" customWidth="1"/>
    <col min="4" max="4" width="15.44140625" style="36" bestFit="1" customWidth="1"/>
    <col min="5" max="6" width="15.109375" style="36" bestFit="1" customWidth="1"/>
    <col min="7" max="7" width="13.6640625" style="36" customWidth="1"/>
    <col min="8" max="8" width="28.6640625" style="36" customWidth="1"/>
    <col min="9" max="9" width="2.88671875" style="36" bestFit="1" customWidth="1"/>
    <col min="10" max="16384" width="9.109375" style="36"/>
  </cols>
  <sheetData>
    <row r="4" spans="2:8" x14ac:dyDescent="0.25">
      <c r="B4" s="118" t="s">
        <v>56</v>
      </c>
    </row>
    <row r="5" spans="2:8" ht="13.8" thickBot="1" x14ac:dyDescent="0.3"/>
    <row r="6" spans="2:8" ht="14.4" thickTop="1" thickBot="1" x14ac:dyDescent="0.3">
      <c r="B6" s="118" t="s">
        <v>41</v>
      </c>
      <c r="C6" s="119" t="s">
        <v>96</v>
      </c>
      <c r="D6" s="120" t="s">
        <v>89</v>
      </c>
      <c r="E6" s="121" t="s">
        <v>95</v>
      </c>
      <c r="F6" s="122" t="s">
        <v>94</v>
      </c>
      <c r="G6" s="122" t="s">
        <v>98</v>
      </c>
      <c r="H6" s="123" t="s">
        <v>97</v>
      </c>
    </row>
    <row r="7" spans="2:8" ht="13.8" thickTop="1" x14ac:dyDescent="0.25">
      <c r="C7" s="124"/>
      <c r="D7" s="125" t="s">
        <v>48</v>
      </c>
      <c r="E7" s="126"/>
      <c r="F7" s="127"/>
      <c r="G7" s="127"/>
      <c r="H7" s="128"/>
    </row>
    <row r="8" spans="2:8" x14ac:dyDescent="0.25">
      <c r="C8" s="129" t="s">
        <v>96</v>
      </c>
      <c r="D8" s="130" t="s">
        <v>495</v>
      </c>
      <c r="E8" s="130" t="s">
        <v>92</v>
      </c>
      <c r="F8" s="131" t="s">
        <v>93</v>
      </c>
      <c r="G8" s="130" t="s">
        <v>99</v>
      </c>
      <c r="H8" s="130" t="s">
        <v>90</v>
      </c>
    </row>
    <row r="9" spans="2:8" x14ac:dyDescent="0.25">
      <c r="C9" s="129" t="s">
        <v>96</v>
      </c>
      <c r="D9" s="130" t="s">
        <v>493</v>
      </c>
      <c r="E9" s="130" t="s">
        <v>92</v>
      </c>
      <c r="F9" s="131" t="s">
        <v>93</v>
      </c>
      <c r="G9" s="130" t="s">
        <v>99</v>
      </c>
      <c r="H9" s="130" t="s">
        <v>90</v>
      </c>
    </row>
    <row r="10" spans="2:8" ht="11.25" customHeight="1" x14ac:dyDescent="0.25">
      <c r="C10" s="129" t="s">
        <v>96</v>
      </c>
      <c r="D10" s="130" t="s">
        <v>494</v>
      </c>
      <c r="E10" s="130" t="s">
        <v>92</v>
      </c>
      <c r="F10" s="131" t="s">
        <v>93</v>
      </c>
      <c r="G10" s="130" t="s">
        <v>99</v>
      </c>
      <c r="H10" s="130" t="s">
        <v>90</v>
      </c>
    </row>
    <row r="11" spans="2:8" x14ac:dyDescent="0.25">
      <c r="C11" s="129" t="s">
        <v>96</v>
      </c>
      <c r="D11" s="130" t="s">
        <v>496</v>
      </c>
      <c r="E11" s="130" t="s">
        <v>92</v>
      </c>
      <c r="F11" s="131" t="s">
        <v>93</v>
      </c>
      <c r="G11" s="130" t="s">
        <v>99</v>
      </c>
      <c r="H11" s="130" t="s">
        <v>90</v>
      </c>
    </row>
    <row r="12" spans="2:8" x14ac:dyDescent="0.25">
      <c r="C12" s="129" t="s">
        <v>96</v>
      </c>
      <c r="D12" s="130" t="s">
        <v>497</v>
      </c>
      <c r="E12" s="130" t="s">
        <v>92</v>
      </c>
      <c r="F12" s="131" t="s">
        <v>93</v>
      </c>
      <c r="G12" s="130" t="s">
        <v>99</v>
      </c>
      <c r="H12" s="130" t="s">
        <v>90</v>
      </c>
    </row>
    <row r="13" spans="2:8" x14ac:dyDescent="0.25">
      <c r="C13" s="129" t="s">
        <v>96</v>
      </c>
      <c r="D13" s="130" t="s">
        <v>498</v>
      </c>
      <c r="E13" s="130" t="s">
        <v>92</v>
      </c>
      <c r="F13" s="131" t="s">
        <v>93</v>
      </c>
      <c r="G13" s="130" t="s">
        <v>99</v>
      </c>
      <c r="H13" s="130" t="s">
        <v>90</v>
      </c>
    </row>
    <row r="14" spans="2:8" x14ac:dyDescent="0.25">
      <c r="C14" s="129" t="s">
        <v>96</v>
      </c>
      <c r="D14" s="130" t="s">
        <v>131</v>
      </c>
      <c r="E14" s="130" t="s">
        <v>92</v>
      </c>
      <c r="F14" s="131" t="s">
        <v>93</v>
      </c>
      <c r="G14" s="130" t="s">
        <v>99</v>
      </c>
      <c r="H14" s="130" t="s">
        <v>90</v>
      </c>
    </row>
    <row r="15" spans="2:8" x14ac:dyDescent="0.25">
      <c r="C15" s="129" t="s">
        <v>132</v>
      </c>
      <c r="D15" s="130" t="s">
        <v>132</v>
      </c>
      <c r="E15" s="130"/>
      <c r="F15" s="131"/>
      <c r="G15" s="130"/>
      <c r="H15" s="130"/>
    </row>
    <row r="16" spans="2:8" x14ac:dyDescent="0.25">
      <c r="C16" s="129"/>
      <c r="D16" s="130"/>
      <c r="E16" s="130"/>
      <c r="F16" s="131"/>
      <c r="G16" s="130"/>
      <c r="H16" s="130"/>
    </row>
    <row r="17" spans="3:8" x14ac:dyDescent="0.25">
      <c r="C17" s="129"/>
      <c r="D17" s="130"/>
      <c r="E17" s="130"/>
      <c r="F17" s="131"/>
      <c r="G17" s="130"/>
      <c r="H17" s="130"/>
    </row>
    <row r="18" spans="3:8" x14ac:dyDescent="0.25">
      <c r="C18" s="129"/>
      <c r="D18" s="130"/>
      <c r="E18" s="130"/>
      <c r="F18" s="131"/>
      <c r="G18" s="130"/>
      <c r="H18" s="130"/>
    </row>
    <row r="19" spans="3:8" x14ac:dyDescent="0.25">
      <c r="C19" s="129"/>
      <c r="D19" s="130"/>
      <c r="E19" s="130"/>
      <c r="F19" s="131"/>
      <c r="G19" s="130"/>
      <c r="H19" s="130"/>
    </row>
    <row r="20" spans="3:8" x14ac:dyDescent="0.25">
      <c r="C20" s="129"/>
      <c r="D20" s="130"/>
      <c r="E20" s="130"/>
      <c r="F20" s="131"/>
      <c r="G20" s="130"/>
      <c r="H20" s="130"/>
    </row>
    <row r="21" spans="3:8" x14ac:dyDescent="0.25">
      <c r="C21" s="129"/>
      <c r="D21" s="130"/>
      <c r="E21" s="130"/>
      <c r="F21" s="131"/>
      <c r="G21" s="130"/>
      <c r="H21" s="130"/>
    </row>
    <row r="22" spans="3:8" x14ac:dyDescent="0.25">
      <c r="C22" s="129"/>
      <c r="D22" s="130"/>
      <c r="E22" s="130"/>
      <c r="F22" s="131"/>
      <c r="G22" s="130"/>
      <c r="H22" s="130"/>
    </row>
    <row r="23" spans="3:8" x14ac:dyDescent="0.25">
      <c r="C23" s="129"/>
      <c r="D23" s="130"/>
      <c r="E23" s="130"/>
      <c r="F23" s="131"/>
      <c r="G23" s="130"/>
      <c r="H23" s="130"/>
    </row>
    <row r="24" spans="3:8" x14ac:dyDescent="0.25">
      <c r="C24" s="129"/>
      <c r="D24" s="130"/>
      <c r="E24" s="130"/>
      <c r="F24" s="131"/>
      <c r="G24" s="130"/>
      <c r="H24" s="130"/>
    </row>
    <row r="25" spans="3:8" ht="13.8" thickBot="1" x14ac:dyDescent="0.3">
      <c r="C25" s="132"/>
      <c r="D25" s="133"/>
      <c r="E25" s="133"/>
      <c r="F25" s="134"/>
      <c r="G25" s="135"/>
      <c r="H25" s="136"/>
    </row>
    <row r="26" spans="3:8" ht="13.8" thickTop="1" x14ac:dyDescent="0.25"/>
    <row r="41" spans="7:9" x14ac:dyDescent="0.25">
      <c r="G41" s="118"/>
      <c r="I41" s="137"/>
    </row>
    <row r="43" spans="7:9" x14ac:dyDescent="0.25">
      <c r="G43" s="118"/>
      <c r="H43" s="137"/>
      <c r="I43" s="137"/>
    </row>
    <row r="51" spans="4:4" x14ac:dyDescent="0.25">
      <c r="D51" s="6"/>
    </row>
  </sheetData>
  <phoneticPr fontId="2" type="noConversion"/>
  <dataValidations count="1">
    <dataValidation type="list" allowBlank="1" showInputMessage="1" showErrorMessage="1" sqref="D8:D13" xr:uid="{CE735964-05AE-43EA-964F-51DC999D3524}">
      <formula1>Members</formula1>
    </dataValidation>
  </dataValidations>
  <pageMargins left="0" right="0" top="0" bottom="0" header="0" footer="0"/>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33"/>
  <sheetViews>
    <sheetView tabSelected="1" topLeftCell="A12" workbookViewId="0">
      <selection activeCell="S4" sqref="S4:AY198"/>
    </sheetView>
  </sheetViews>
  <sheetFormatPr defaultRowHeight="13.2" x14ac:dyDescent="0.25"/>
  <cols>
    <col min="1" max="1" width="21.5546875" bestFit="1" customWidth="1"/>
    <col min="2" max="2" width="6.6640625" bestFit="1" customWidth="1"/>
    <col min="3" max="3" width="7.33203125" bestFit="1" customWidth="1"/>
  </cols>
  <sheetData>
    <row r="1" spans="1:3" ht="14.4" x14ac:dyDescent="0.3">
      <c r="A1" s="153" t="s">
        <v>102</v>
      </c>
      <c r="B1" s="154"/>
    </row>
    <row r="2" spans="1:3" ht="14.4" x14ac:dyDescent="0.3">
      <c r="A2" s="155" t="s">
        <v>103</v>
      </c>
      <c r="B2" s="156">
        <v>93</v>
      </c>
      <c r="C2" s="160">
        <f>B2/$B$6</f>
        <v>0.58860759493670889</v>
      </c>
    </row>
    <row r="3" spans="1:3" ht="14.4" x14ac:dyDescent="0.3">
      <c r="A3" s="155" t="s">
        <v>104</v>
      </c>
      <c r="B3" s="156">
        <v>65</v>
      </c>
      <c r="C3" s="160">
        <f t="shared" ref="C3:C5" si="0">B3/$B$6</f>
        <v>0.41139240506329117</v>
      </c>
    </row>
    <row r="4" spans="1:3" ht="14.4" x14ac:dyDescent="0.3">
      <c r="A4" s="155" t="s">
        <v>105</v>
      </c>
      <c r="B4" s="156">
        <v>0</v>
      </c>
      <c r="C4" s="160">
        <f t="shared" si="0"/>
        <v>0</v>
      </c>
    </row>
    <row r="5" spans="1:3" ht="14.4" x14ac:dyDescent="0.3">
      <c r="A5" s="155" t="s">
        <v>106</v>
      </c>
      <c r="B5" s="156">
        <v>0</v>
      </c>
      <c r="C5" s="160">
        <f t="shared" si="0"/>
        <v>0</v>
      </c>
    </row>
    <row r="6" spans="1:3" ht="14.4" x14ac:dyDescent="0.3">
      <c r="A6" s="157" t="s">
        <v>126</v>
      </c>
      <c r="B6" s="161">
        <f>SUM(B2:B5)</f>
        <v>158</v>
      </c>
      <c r="C6" s="162">
        <f>SUM(C2:C5)</f>
        <v>1</v>
      </c>
    </row>
    <row r="7" spans="1:3" ht="14.4" x14ac:dyDescent="0.3">
      <c r="A7" s="156"/>
      <c r="B7" s="156"/>
    </row>
    <row r="8" spans="1:3" ht="14.4" x14ac:dyDescent="0.3">
      <c r="A8" s="157" t="s">
        <v>107</v>
      </c>
      <c r="B8" s="156"/>
    </row>
    <row r="9" spans="1:3" ht="14.4" x14ac:dyDescent="0.3">
      <c r="A9" s="155" t="s">
        <v>108</v>
      </c>
      <c r="B9" s="156">
        <v>21</v>
      </c>
      <c r="C9" s="160">
        <f>B9/$B$25</f>
        <v>0.15555555555555556</v>
      </c>
    </row>
    <row r="10" spans="1:3" ht="14.4" x14ac:dyDescent="0.3">
      <c r="A10" s="155" t="s">
        <v>109</v>
      </c>
      <c r="B10" s="156">
        <v>3</v>
      </c>
      <c r="C10" s="160">
        <f>B10/$B$25</f>
        <v>2.2222222222222223E-2</v>
      </c>
    </row>
    <row r="11" spans="1:3" ht="14.4" x14ac:dyDescent="0.3">
      <c r="A11" s="155" t="s">
        <v>110</v>
      </c>
      <c r="B11" s="156">
        <v>26</v>
      </c>
      <c r="C11" s="160">
        <f>B11/$B$25</f>
        <v>0.19259259259259259</v>
      </c>
    </row>
    <row r="12" spans="1:3" ht="14.4" x14ac:dyDescent="0.3">
      <c r="A12" s="155" t="s">
        <v>111</v>
      </c>
      <c r="B12" s="156">
        <v>5</v>
      </c>
      <c r="C12" s="160">
        <f t="shared" ref="C12:C24" si="1">B12/$B$25</f>
        <v>3.7037037037037035E-2</v>
      </c>
    </row>
    <row r="13" spans="1:3" ht="14.4" x14ac:dyDescent="0.3">
      <c r="A13" s="155" t="s">
        <v>112</v>
      </c>
      <c r="B13" s="156">
        <v>6</v>
      </c>
      <c r="C13" s="160">
        <f t="shared" si="1"/>
        <v>4.4444444444444446E-2</v>
      </c>
    </row>
    <row r="14" spans="1:3" ht="14.4" x14ac:dyDescent="0.3">
      <c r="A14" s="155" t="s">
        <v>113</v>
      </c>
      <c r="B14" s="156">
        <v>0</v>
      </c>
      <c r="C14" s="160">
        <f t="shared" si="1"/>
        <v>0</v>
      </c>
    </row>
    <row r="15" spans="1:3" ht="14.4" x14ac:dyDescent="0.3">
      <c r="A15" s="155" t="s">
        <v>114</v>
      </c>
      <c r="B15" s="156">
        <v>5</v>
      </c>
      <c r="C15" s="160">
        <f t="shared" si="1"/>
        <v>3.7037037037037035E-2</v>
      </c>
    </row>
    <row r="16" spans="1:3" ht="14.4" x14ac:dyDescent="0.3">
      <c r="A16" s="155" t="s">
        <v>115</v>
      </c>
      <c r="B16" s="156">
        <v>1</v>
      </c>
      <c r="C16" s="160">
        <f t="shared" si="1"/>
        <v>7.4074074074074077E-3</v>
      </c>
    </row>
    <row r="17" spans="1:3" ht="14.4" x14ac:dyDescent="0.3">
      <c r="A17" s="155" t="s">
        <v>116</v>
      </c>
      <c r="B17" s="156">
        <v>3</v>
      </c>
      <c r="C17" s="160">
        <f t="shared" si="1"/>
        <v>2.2222222222222223E-2</v>
      </c>
    </row>
    <row r="18" spans="1:3" ht="14.4" x14ac:dyDescent="0.3">
      <c r="A18" s="155" t="s">
        <v>117</v>
      </c>
      <c r="B18" s="156">
        <v>12</v>
      </c>
      <c r="C18" s="160">
        <f t="shared" si="1"/>
        <v>8.8888888888888892E-2</v>
      </c>
    </row>
    <row r="19" spans="1:3" ht="14.4" x14ac:dyDescent="0.3">
      <c r="A19" s="155" t="s">
        <v>118</v>
      </c>
      <c r="B19" s="156">
        <v>8</v>
      </c>
      <c r="C19" s="160">
        <f t="shared" si="1"/>
        <v>5.9259259259259262E-2</v>
      </c>
    </row>
    <row r="20" spans="1:3" ht="14.4" x14ac:dyDescent="0.3">
      <c r="A20" s="155" t="s">
        <v>119</v>
      </c>
      <c r="B20" s="156">
        <v>0</v>
      </c>
      <c r="C20" s="160">
        <f t="shared" si="1"/>
        <v>0</v>
      </c>
    </row>
    <row r="21" spans="1:3" ht="14.4" x14ac:dyDescent="0.3">
      <c r="A21" s="155" t="s">
        <v>120</v>
      </c>
      <c r="B21" s="156">
        <v>2</v>
      </c>
      <c r="C21" s="160">
        <f t="shared" si="1"/>
        <v>1.4814814814814815E-2</v>
      </c>
    </row>
    <row r="22" spans="1:3" ht="14.4" x14ac:dyDescent="0.3">
      <c r="A22" s="155" t="s">
        <v>121</v>
      </c>
      <c r="B22" s="156">
        <v>19</v>
      </c>
      <c r="C22" s="160">
        <f t="shared" si="1"/>
        <v>0.14074074074074075</v>
      </c>
    </row>
    <row r="23" spans="1:3" ht="14.4" x14ac:dyDescent="0.3">
      <c r="A23" s="155" t="s">
        <v>122</v>
      </c>
      <c r="B23" s="156">
        <v>19</v>
      </c>
      <c r="C23" s="160">
        <f t="shared" si="1"/>
        <v>0.14074074074074075</v>
      </c>
    </row>
    <row r="24" spans="1:3" ht="14.4" x14ac:dyDescent="0.3">
      <c r="A24" s="155" t="s">
        <v>123</v>
      </c>
      <c r="B24" s="156">
        <v>5</v>
      </c>
      <c r="C24" s="160">
        <f t="shared" si="1"/>
        <v>3.7037037037037035E-2</v>
      </c>
    </row>
    <row r="25" spans="1:3" ht="14.4" x14ac:dyDescent="0.3">
      <c r="A25" s="157" t="s">
        <v>126</v>
      </c>
      <c r="B25" s="159">
        <f>SUM(B9:B24)</f>
        <v>135</v>
      </c>
      <c r="C25" s="160">
        <f>SUM(C9:C24)</f>
        <v>1</v>
      </c>
    </row>
    <row r="27" spans="1:3" ht="14.4" x14ac:dyDescent="0.3">
      <c r="A27" s="155" t="s">
        <v>125</v>
      </c>
    </row>
    <row r="28" spans="1:3" ht="14.4" x14ac:dyDescent="0.3">
      <c r="A28" s="155" t="s">
        <v>127</v>
      </c>
      <c r="B28" s="156">
        <v>0</v>
      </c>
      <c r="C28" s="160" t="e">
        <f>B28/$B$33</f>
        <v>#DIV/0!</v>
      </c>
    </row>
    <row r="29" spans="1:3" ht="14.4" x14ac:dyDescent="0.3">
      <c r="A29" s="155" t="s">
        <v>128</v>
      </c>
      <c r="B29" s="156">
        <v>0</v>
      </c>
      <c r="C29" s="160" t="e">
        <f t="shared" ref="C29:C32" si="2">B29/$B$33</f>
        <v>#DIV/0!</v>
      </c>
    </row>
    <row r="30" spans="1:3" ht="14.4" x14ac:dyDescent="0.3">
      <c r="A30" s="155" t="s">
        <v>129</v>
      </c>
      <c r="B30" s="156">
        <v>0</v>
      </c>
      <c r="C30" s="160" t="e">
        <f t="shared" si="2"/>
        <v>#DIV/0!</v>
      </c>
    </row>
    <row r="31" spans="1:3" ht="14.4" x14ac:dyDescent="0.3">
      <c r="A31" s="155" t="s">
        <v>124</v>
      </c>
      <c r="B31" s="156">
        <v>0</v>
      </c>
      <c r="C31" s="160" t="e">
        <f t="shared" si="2"/>
        <v>#DIV/0!</v>
      </c>
    </row>
    <row r="32" spans="1:3" ht="14.4" x14ac:dyDescent="0.3">
      <c r="A32" s="155" t="s">
        <v>130</v>
      </c>
      <c r="B32" s="156">
        <v>0</v>
      </c>
      <c r="C32" s="160" t="e">
        <f t="shared" si="2"/>
        <v>#DIV/0!</v>
      </c>
    </row>
    <row r="33" spans="1:3" ht="14.4" x14ac:dyDescent="0.3">
      <c r="A33" s="157" t="s">
        <v>126</v>
      </c>
      <c r="B33" s="161">
        <f>SUM(B28:B32)</f>
        <v>0</v>
      </c>
      <c r="C33" s="160" t="e">
        <f>SUM(C28:C32)</f>
        <v>#DIV/0!</v>
      </c>
    </row>
  </sheetData>
  <pageMargins left="0" right="0" top="0" bottom="0" header="0" footer="0"/>
  <pageSetup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29</vt:i4>
      </vt:variant>
    </vt:vector>
  </HeadingPairs>
  <TitlesOfParts>
    <vt:vector size="34" baseType="lpstr">
      <vt:lpstr>Sprint</vt:lpstr>
      <vt:lpstr>Analysis</vt:lpstr>
      <vt:lpstr>Capacity</vt:lpstr>
      <vt:lpstr>Team Roster</vt:lpstr>
      <vt:lpstr>Project Specific Reports</vt:lpstr>
      <vt:lpstr>Analysis!Burndown</vt:lpstr>
      <vt:lpstr>Burndown</vt:lpstr>
      <vt:lpstr>Analysis!BurndownColumns</vt:lpstr>
      <vt:lpstr>BurndownColumns</vt:lpstr>
      <vt:lpstr>Analysis!DailyScrumDateModifier</vt:lpstr>
      <vt:lpstr>DailyScrumDateModifier</vt:lpstr>
      <vt:lpstr>Deliverable</vt:lpstr>
      <vt:lpstr>Analysis!HoursLeftColumn</vt:lpstr>
      <vt:lpstr>HoursLeftColumn</vt:lpstr>
      <vt:lpstr>Analysis!HoursSpentColumn</vt:lpstr>
      <vt:lpstr>HoursSpentColumn</vt:lpstr>
      <vt:lpstr>Analysis!LeftColumn</vt:lpstr>
      <vt:lpstr>LeftColumn</vt:lpstr>
      <vt:lpstr>Capacity!Print_Area</vt:lpstr>
      <vt:lpstr>Analysis!SkipWeekends</vt:lpstr>
      <vt:lpstr>SkipWeekends</vt:lpstr>
      <vt:lpstr>Analysis!SpentColumn</vt:lpstr>
      <vt:lpstr>SpentColumn</vt:lpstr>
      <vt:lpstr>Analysis!SprintDates</vt:lpstr>
      <vt:lpstr>SprintDates</vt:lpstr>
      <vt:lpstr>SprintStart</vt:lpstr>
      <vt:lpstr>Start_Date</vt:lpstr>
      <vt:lpstr>Analysis!StatusColumn</vt:lpstr>
      <vt:lpstr>StatusColumn</vt:lpstr>
      <vt:lpstr>Analysis!StatusTypes</vt:lpstr>
      <vt:lpstr>StatusTypes</vt:lpstr>
      <vt:lpstr>Analysis!TotalEffort</vt:lpstr>
      <vt:lpstr>TotalEffort</vt:lpstr>
      <vt:lpstr>Worktype</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and Sprint Backlog</dc:title>
  <dc:subject>Agile Project Tracking</dc:subject>
  <dc:creator>Mitch Lacey</dc:creator>
  <cp:lastModifiedBy>Tamim Ali</cp:lastModifiedBy>
  <cp:revision>1</cp:revision>
  <cp:lastPrinted>2024-06-07T20:53:14Z</cp:lastPrinted>
  <dcterms:created xsi:type="dcterms:W3CDTF">2005-01-26T21:50:47Z</dcterms:created>
  <dcterms:modified xsi:type="dcterms:W3CDTF">2024-06-07T21:17:30Z</dcterms:modified>
  <cp:category>Project Management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Category">
    <vt:lpwstr>01 Planning Doc</vt:lpwstr>
  </property>
  <property fmtid="{D5CDD505-2E9C-101B-9397-08002B2CF9AE}" pid="3" name="At a Glance">
    <vt:lpwstr>0</vt:lpwstr>
  </property>
  <property fmtid="{D5CDD505-2E9C-101B-9397-08002B2CF9AE}" pid="4" name="Project Category">
    <vt:lpwstr>Entertainment (depth)</vt:lpwstr>
  </property>
</Properties>
</file>